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99_Austausch\JKL\Junk.Paul\"/>
    </mc:Choice>
  </mc:AlternateContent>
  <xr:revisionPtr revIDLastSave="0" documentId="13_ncr:1_{27227387-C881-4D1C-B4CF-95973604DCEE}" xr6:coauthVersionLast="47" xr6:coauthVersionMax="47" xr10:uidLastSave="{00000000-0000-0000-0000-000000000000}"/>
  <bookViews>
    <workbookView xWindow="-25320" yWindow="420" windowWidth="25440" windowHeight="15270" xr2:uid="{87D66279-41C4-462A-9330-17BEED63DA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R8" i="1"/>
  <c r="H3" i="1"/>
  <c r="H4" i="1"/>
  <c r="H5" i="1"/>
  <c r="H7" i="1"/>
  <c r="H6" i="1"/>
  <c r="H10" i="1"/>
  <c r="H9" i="1"/>
  <c r="H2" i="1"/>
  <c r="R3" i="1"/>
  <c r="R4" i="1"/>
  <c r="R9" i="1"/>
  <c r="R2" i="1"/>
  <c r="M5" i="1"/>
  <c r="Q7" i="1"/>
  <c r="Q6" i="1"/>
  <c r="Q10" i="1"/>
  <c r="Q5" i="1"/>
  <c r="M7" i="1"/>
  <c r="M6" i="1"/>
  <c r="M10" i="1"/>
  <c r="R10" i="1" l="1"/>
  <c r="R6" i="1"/>
  <c r="R7" i="1"/>
  <c r="R5" i="1"/>
</calcChain>
</file>

<file path=xl/sharedStrings.xml><?xml version="1.0" encoding="utf-8"?>
<sst xmlns="http://schemas.openxmlformats.org/spreadsheetml/2006/main" count="20" uniqueCount="16">
  <si>
    <t>thickness 1</t>
  </si>
  <si>
    <t>thickness 2</t>
  </si>
  <si>
    <t>thickness 3</t>
  </si>
  <si>
    <t>Ion probe</t>
  </si>
  <si>
    <t>QCM</t>
  </si>
  <si>
    <t>XRR (Q)</t>
  </si>
  <si>
    <t>XRR (I)</t>
  </si>
  <si>
    <t>Sample ID</t>
  </si>
  <si>
    <t>Nitrogen pressure</t>
  </si>
  <si>
    <t>Distance</t>
  </si>
  <si>
    <t>Magnetic Field</t>
  </si>
  <si>
    <t>Thickness XRR</t>
  </si>
  <si>
    <t>Profilometry</t>
  </si>
  <si>
    <t>Thickness Q/I</t>
  </si>
  <si>
    <t xml:space="preserve">to note the 0 Pa data points are with 6000 pulses and </t>
  </si>
  <si>
    <t>the ones with nitrogen are 8000 pulses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</si>
</sst>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Profilometry thickness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Thickness at Ion probe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Sheet1!$A$7:$A$10</c:f>
              <c:numCache>
                <c:formatCode>General</c:formatCode>
                <c:ptCount val="4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</c:numCache>
            </c:numRef>
          </c:cat>
          <c:val>
            <c:numRef>
              <c:f>Sheet1!$M$7:$M$10</c:f>
              <c:numCache>
                <c:formatCode>General</c:formatCode>
                <c:ptCount val="4"/>
                <c:pt idx="0">
                  <c:v>56.533333333333331</c:v>
                </c:pt>
                <c:pt idx="1">
                  <c:v>41</c:v>
                </c:pt>
                <c:pt idx="2">
                  <c:v>37.770000000000003</c:v>
                </c:pt>
                <c:pt idx="3">
                  <c:v>40.800000000000004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72-46E8-A273-5AD3645D7FED}"/>
            </c:ext>
          </c:extLst>
        </c:ser>
        <c:ser>
          <c:idx val="1"/>
          <c:order val="1"/>
          <c:tx>
            <c:v>Thickness at QCM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Sheet1!$A$7:$A$10</c:f>
              <c:numCache>
                <c:formatCode>General</c:formatCode>
                <c:ptCount val="4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</c:numCache>
            </c:numRef>
          </c:cat>
          <c:val>
            <c:numRef>
              <c:f>Sheet1!$Q$7:$Q$10</c:f>
              <c:numCache>
                <c:formatCode>General</c:formatCode>
                <c:ptCount val="4"/>
                <c:pt idx="0">
                  <c:v>65.233333333333334</c:v>
                </c:pt>
                <c:pt idx="1">
                  <c:v>58.52</c:v>
                </c:pt>
                <c:pt idx="2">
                  <c:v>45.97</c:v>
                </c:pt>
                <c:pt idx="3">
                  <c:v>43.766666666666673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72-46E8-A273-5AD3645D7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8898255"/>
        <c:axId val="588881935"/>
      </c:lineChart>
      <c:catAx>
        <c:axId val="588898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Nitrogen pressure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88881935"/>
        <c:crosses val="autoZero"/>
        <c:auto val="1"/>
        <c:lblAlgn val="ctr"/>
        <c:lblOffset val="100"/>
        <c:noMultiLvlLbl val="0"/>
      </c:catAx>
      <c:valAx>
        <c:axId val="5888819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Thickness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88898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XRR thickness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Thickness at QCM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Sheet1!$A$7:$A$10</c:f>
              <c:numCache>
                <c:formatCode>General</c:formatCode>
                <c:ptCount val="4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</c:numCache>
            </c:numRef>
          </c:cat>
          <c:val>
            <c:numRef>
              <c:f>Sheet1!$G$7:$G$10</c:f>
              <c:numCache>
                <c:formatCode>General</c:formatCode>
                <c:ptCount val="4"/>
                <c:pt idx="0">
                  <c:v>63</c:v>
                </c:pt>
                <c:pt idx="1">
                  <c:v>46</c:v>
                </c:pt>
                <c:pt idx="2">
                  <c:v>42</c:v>
                </c:pt>
                <c:pt idx="3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5-4C2D-8982-DF2B539471C2}"/>
            </c:ext>
          </c:extLst>
        </c:ser>
        <c:ser>
          <c:idx val="0"/>
          <c:order val="1"/>
          <c:tx>
            <c:v>Thickness at Ion probe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Sheet1!$F$7:$F$10</c:f>
              <c:numCache>
                <c:formatCode>General</c:formatCode>
                <c:ptCount val="4"/>
                <c:pt idx="0">
                  <c:v>58</c:v>
                </c:pt>
                <c:pt idx="1">
                  <c:v>38</c:v>
                </c:pt>
                <c:pt idx="2">
                  <c:v>34.5</c:v>
                </c:pt>
                <c:pt idx="3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47-4834-86DF-353E53B14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3434143"/>
        <c:axId val="1233433183"/>
      </c:lineChart>
      <c:catAx>
        <c:axId val="1233434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Nitrogen pressure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33433183"/>
        <c:crosses val="autoZero"/>
        <c:auto val="1"/>
        <c:lblAlgn val="ctr"/>
        <c:lblOffset val="100"/>
        <c:noMultiLvlLbl val="0"/>
      </c:catAx>
      <c:valAx>
        <c:axId val="12334331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Thickness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33434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XRR vs Profilometry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XRR (Q)</c:v>
          </c:tx>
          <c:spPr>
            <a:ln w="2222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diamond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Sheet1!$A$7:$A$10</c:f>
              <c:numCache>
                <c:formatCode>General</c:formatCode>
                <c:ptCount val="4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</c:numCache>
            </c:numRef>
          </c:cat>
          <c:val>
            <c:numRef>
              <c:f>Sheet1!$G$7:$G$10</c:f>
              <c:numCache>
                <c:formatCode>General</c:formatCode>
                <c:ptCount val="4"/>
                <c:pt idx="0">
                  <c:v>63</c:v>
                </c:pt>
                <c:pt idx="1">
                  <c:v>46</c:v>
                </c:pt>
                <c:pt idx="2">
                  <c:v>42</c:v>
                </c:pt>
                <c:pt idx="3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E9-402B-B310-EF01A3B1B0C4}"/>
            </c:ext>
          </c:extLst>
        </c:ser>
        <c:ser>
          <c:idx val="1"/>
          <c:order val="1"/>
          <c:tx>
            <c:v>Profilometry (Q)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Sheet1!$A$7:$A$10</c:f>
              <c:numCache>
                <c:formatCode>General</c:formatCode>
                <c:ptCount val="4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</c:numCache>
            </c:numRef>
          </c:cat>
          <c:val>
            <c:numRef>
              <c:f>Sheet1!$Q$7:$Q$10</c:f>
              <c:numCache>
                <c:formatCode>General</c:formatCode>
                <c:ptCount val="4"/>
                <c:pt idx="0">
                  <c:v>65.233333333333334</c:v>
                </c:pt>
                <c:pt idx="1">
                  <c:v>58.52</c:v>
                </c:pt>
                <c:pt idx="2">
                  <c:v>45.97</c:v>
                </c:pt>
                <c:pt idx="3">
                  <c:v>43.766666666666673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E9-402B-B310-EF01A3B1B0C4}"/>
            </c:ext>
          </c:extLst>
        </c:ser>
        <c:ser>
          <c:idx val="2"/>
          <c:order val="2"/>
          <c:tx>
            <c:v>Profilometry (I)</c:v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val>
            <c:numRef>
              <c:f>Sheet1!$M$7:$M$10</c:f>
              <c:numCache>
                <c:formatCode>General</c:formatCode>
                <c:ptCount val="4"/>
                <c:pt idx="0">
                  <c:v>56.533333333333331</c:v>
                </c:pt>
                <c:pt idx="1">
                  <c:v>41</c:v>
                </c:pt>
                <c:pt idx="2">
                  <c:v>37.770000000000003</c:v>
                </c:pt>
                <c:pt idx="3">
                  <c:v>40.800000000000004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E9-402B-B310-EF01A3B1B0C4}"/>
            </c:ext>
          </c:extLst>
        </c:ser>
        <c:ser>
          <c:idx val="3"/>
          <c:order val="3"/>
          <c:tx>
            <c:v>XRR (I)</c:v>
          </c:tx>
          <c:spPr>
            <a:ln w="22225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diamond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val>
            <c:numRef>
              <c:f>Sheet1!$F$7:$F$10</c:f>
              <c:numCache>
                <c:formatCode>General</c:formatCode>
                <c:ptCount val="4"/>
                <c:pt idx="0">
                  <c:v>58</c:v>
                </c:pt>
                <c:pt idx="1">
                  <c:v>38</c:v>
                </c:pt>
                <c:pt idx="2">
                  <c:v>34.5</c:v>
                </c:pt>
                <c:pt idx="3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B7-479F-B015-9D34CCBD1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7938207"/>
        <c:axId val="2107938687"/>
      </c:lineChart>
      <c:catAx>
        <c:axId val="2107938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Nitrogen pressure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07938687"/>
        <c:crosses val="autoZero"/>
        <c:auto val="1"/>
        <c:lblAlgn val="ctr"/>
        <c:lblOffset val="100"/>
        <c:noMultiLvlLbl val="0"/>
      </c:catAx>
      <c:valAx>
        <c:axId val="21079386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Thickness (nm)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0793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11</xdr:row>
      <xdr:rowOff>9525</xdr:rowOff>
    </xdr:from>
    <xdr:to>
      <xdr:col>19</xdr:col>
      <xdr:colOff>352425</xdr:colOff>
      <xdr:row>25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5E46DDB-5AA5-C974-A173-8255A6BF7B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642937</xdr:colOff>
      <xdr:row>11</xdr:row>
      <xdr:rowOff>9525</xdr:rowOff>
    </xdr:from>
    <xdr:to>
      <xdr:col>8</xdr:col>
      <xdr:colOff>4762</xdr:colOff>
      <xdr:row>25</xdr:row>
      <xdr:rowOff>85725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2EF04E3-77E0-1ECE-754B-8D045AAFB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638175</xdr:colOff>
      <xdr:row>25</xdr:row>
      <xdr:rowOff>85725</xdr:rowOff>
    </xdr:from>
    <xdr:to>
      <xdr:col>8</xdr:col>
      <xdr:colOff>0</xdr:colOff>
      <xdr:row>39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E03A41-2E3A-6807-38E0-3E7FDDFECD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BA13A-8A02-4917-A1C8-29498E99BAC6}">
  <dimension ref="A1:R28"/>
  <sheetViews>
    <sheetView tabSelected="1" workbookViewId="0">
      <selection activeCell="A5" sqref="A2:XFD5"/>
    </sheetView>
  </sheetViews>
  <sheetFormatPr defaultRowHeight="15" x14ac:dyDescent="0.25"/>
  <cols>
    <col min="1" max="1" width="16.85546875" bestFit="1" customWidth="1"/>
    <col min="2" max="2" width="9.85546875" bestFit="1" customWidth="1"/>
    <col min="4" max="5" width="13.85546875" bestFit="1" customWidth="1"/>
    <col min="8" max="8" width="13.140625" bestFit="1" customWidth="1"/>
    <col min="9" max="9" width="11.7109375" bestFit="1" customWidth="1"/>
    <col min="10" max="12" width="10.85546875" hidden="1" customWidth="1"/>
    <col min="13" max="13" width="13.42578125" bestFit="1" customWidth="1"/>
    <col min="14" max="16" width="10.85546875" hidden="1" customWidth="1"/>
    <col min="17" max="17" width="13.42578125" bestFit="1" customWidth="1"/>
    <col min="18" max="18" width="15.7109375" customWidth="1"/>
  </cols>
  <sheetData>
    <row r="1" spans="1:18" x14ac:dyDescent="0.25">
      <c r="A1" t="s">
        <v>8</v>
      </c>
      <c r="B1" t="s">
        <v>7</v>
      </c>
      <c r="C1" t="s">
        <v>9</v>
      </c>
      <c r="D1" t="s">
        <v>10</v>
      </c>
      <c r="E1" t="s">
        <v>11</v>
      </c>
      <c r="F1" s="1" t="s">
        <v>6</v>
      </c>
      <c r="G1" s="2" t="s">
        <v>5</v>
      </c>
      <c r="H1" t="s">
        <v>13</v>
      </c>
      <c r="I1" t="s">
        <v>12</v>
      </c>
      <c r="J1" t="s">
        <v>0</v>
      </c>
      <c r="K1" t="s">
        <v>1</v>
      </c>
      <c r="L1" t="s">
        <v>2</v>
      </c>
      <c r="M1" t="s">
        <v>3</v>
      </c>
      <c r="N1" t="s">
        <v>0</v>
      </c>
      <c r="O1" t="s">
        <v>1</v>
      </c>
      <c r="P1" t="s">
        <v>2</v>
      </c>
      <c r="Q1" t="s">
        <v>4</v>
      </c>
      <c r="R1" s="2" t="s">
        <v>13</v>
      </c>
    </row>
    <row r="2" spans="1:18" hidden="1" x14ac:dyDescent="0.25">
      <c r="A2">
        <v>0.3</v>
      </c>
      <c r="B2">
        <v>2</v>
      </c>
      <c r="C2">
        <v>10</v>
      </c>
      <c r="D2">
        <v>0.25</v>
      </c>
      <c r="F2" s="1"/>
      <c r="G2" s="2"/>
      <c r="H2" t="e">
        <f>G2/F2</f>
        <v>#DIV/0!</v>
      </c>
      <c r="J2">
        <v>77</v>
      </c>
      <c r="M2" s="1">
        <v>77</v>
      </c>
      <c r="N2">
        <v>52</v>
      </c>
      <c r="Q2" s="2">
        <v>52</v>
      </c>
      <c r="R2">
        <f>Q2/M2</f>
        <v>0.67532467532467533</v>
      </c>
    </row>
    <row r="3" spans="1:18" hidden="1" x14ac:dyDescent="0.25">
      <c r="A3">
        <v>0</v>
      </c>
      <c r="B3">
        <v>3</v>
      </c>
      <c r="C3">
        <v>10</v>
      </c>
      <c r="D3">
        <v>0.25</v>
      </c>
      <c r="F3" s="1"/>
      <c r="G3" s="2"/>
      <c r="H3" t="e">
        <f t="shared" ref="H3:H10" si="0">G3/F3</f>
        <v>#DIV/0!</v>
      </c>
      <c r="J3">
        <v>42.82</v>
      </c>
      <c r="M3" s="1">
        <v>42.82</v>
      </c>
      <c r="N3">
        <v>54</v>
      </c>
      <c r="Q3" s="2">
        <v>54</v>
      </c>
      <c r="R3">
        <f t="shared" ref="R3:R10" si="1">Q3/M3</f>
        <v>1.2610929472209247</v>
      </c>
    </row>
    <row r="4" spans="1:18" hidden="1" x14ac:dyDescent="0.25">
      <c r="A4">
        <v>0.1</v>
      </c>
      <c r="B4">
        <v>4</v>
      </c>
      <c r="C4">
        <v>10</v>
      </c>
      <c r="D4">
        <v>0.25</v>
      </c>
      <c r="F4" s="1"/>
      <c r="G4" s="2"/>
      <c r="H4" t="e">
        <f t="shared" si="0"/>
        <v>#DIV/0!</v>
      </c>
      <c r="J4">
        <v>28</v>
      </c>
      <c r="M4" s="1">
        <v>28</v>
      </c>
      <c r="N4">
        <v>52</v>
      </c>
      <c r="Q4" s="2">
        <v>52</v>
      </c>
      <c r="R4">
        <f t="shared" si="1"/>
        <v>1.8571428571428572</v>
      </c>
    </row>
    <row r="5" spans="1:18" hidden="1" x14ac:dyDescent="0.25">
      <c r="A5">
        <v>0</v>
      </c>
      <c r="B5">
        <v>8</v>
      </c>
      <c r="C5">
        <v>14</v>
      </c>
      <c r="D5">
        <v>0.25</v>
      </c>
      <c r="F5" s="1"/>
      <c r="G5" s="2"/>
      <c r="H5" t="e">
        <f t="shared" si="0"/>
        <v>#DIV/0!</v>
      </c>
      <c r="J5">
        <v>69.7</v>
      </c>
      <c r="K5">
        <v>76.900000000000006</v>
      </c>
      <c r="M5" s="1">
        <f>(J5+K5+L5)/2</f>
        <v>73.300000000000011</v>
      </c>
      <c r="N5">
        <v>68.7</v>
      </c>
      <c r="O5">
        <v>65.2</v>
      </c>
      <c r="P5">
        <v>70.099999999999994</v>
      </c>
      <c r="Q5" s="2">
        <f>(N5+O5+P5)/3</f>
        <v>68</v>
      </c>
      <c r="R5">
        <f t="shared" si="1"/>
        <v>0.92769440654843094</v>
      </c>
    </row>
    <row r="6" spans="1:18" x14ac:dyDescent="0.25">
      <c r="A6">
        <v>0.3</v>
      </c>
      <c r="B6">
        <v>11</v>
      </c>
      <c r="C6">
        <v>14</v>
      </c>
      <c r="D6">
        <v>0.25</v>
      </c>
      <c r="F6" s="1">
        <v>39</v>
      </c>
      <c r="G6" s="2">
        <v>45</v>
      </c>
      <c r="H6">
        <f t="shared" si="0"/>
        <v>1.1538461538461537</v>
      </c>
      <c r="J6">
        <v>44</v>
      </c>
      <c r="K6">
        <v>45.1</v>
      </c>
      <c r="L6">
        <v>37</v>
      </c>
      <c r="M6" s="1">
        <f t="shared" ref="M6:M10" si="2">(J6+K6+L6)/3</f>
        <v>42.033333333333331</v>
      </c>
      <c r="N6">
        <v>55.7</v>
      </c>
      <c r="O6">
        <v>58.5</v>
      </c>
      <c r="P6">
        <v>66.099999999999994</v>
      </c>
      <c r="Q6" s="2">
        <f t="shared" ref="Q6:Q10" si="3">(N6+O6+P6)/3</f>
        <v>60.1</v>
      </c>
      <c r="R6">
        <f t="shared" si="1"/>
        <v>1.4298176050753371</v>
      </c>
    </row>
    <row r="7" spans="1:18" x14ac:dyDescent="0.25">
      <c r="A7">
        <v>0</v>
      </c>
      <c r="B7">
        <v>10</v>
      </c>
      <c r="C7">
        <v>14</v>
      </c>
      <c r="D7">
        <v>0.25</v>
      </c>
      <c r="F7" s="1">
        <v>58</v>
      </c>
      <c r="G7" s="2">
        <v>63</v>
      </c>
      <c r="H7">
        <f>G7/F7</f>
        <v>1.0862068965517242</v>
      </c>
      <c r="J7">
        <v>59.3</v>
      </c>
      <c r="K7">
        <v>53.5</v>
      </c>
      <c r="L7">
        <v>56.8</v>
      </c>
      <c r="M7" s="1">
        <f>(J7+K7+L7)/3</f>
        <v>56.533333333333331</v>
      </c>
      <c r="N7">
        <v>63.4</v>
      </c>
      <c r="O7">
        <v>63.3</v>
      </c>
      <c r="P7">
        <v>69</v>
      </c>
      <c r="Q7" s="2">
        <f>(N7+O7+P7)/3</f>
        <v>65.233333333333334</v>
      </c>
      <c r="R7">
        <f>Q7/M7</f>
        <v>1.1538915094339623</v>
      </c>
    </row>
    <row r="8" spans="1:18" x14ac:dyDescent="0.25">
      <c r="A8">
        <v>0.1</v>
      </c>
      <c r="B8">
        <v>13</v>
      </c>
      <c r="C8">
        <v>14</v>
      </c>
      <c r="D8">
        <v>0.25</v>
      </c>
      <c r="F8" s="1">
        <v>38</v>
      </c>
      <c r="G8" s="2">
        <v>46</v>
      </c>
      <c r="H8">
        <f>G8/F8</f>
        <v>1.2105263157894737</v>
      </c>
      <c r="M8" s="1">
        <v>41</v>
      </c>
      <c r="Q8" s="2">
        <v>58.52</v>
      </c>
      <c r="R8">
        <f>Q8/M8</f>
        <v>1.4273170731707319</v>
      </c>
    </row>
    <row r="9" spans="1:18" x14ac:dyDescent="0.25">
      <c r="A9">
        <v>0.2</v>
      </c>
      <c r="B9">
        <v>14</v>
      </c>
      <c r="C9">
        <v>14</v>
      </c>
      <c r="D9">
        <v>0.25</v>
      </c>
      <c r="F9" s="1">
        <v>34.5</v>
      </c>
      <c r="G9" s="2">
        <v>42</v>
      </c>
      <c r="H9">
        <f>G9/F9</f>
        <v>1.2173913043478262</v>
      </c>
      <c r="M9" s="1">
        <v>37.770000000000003</v>
      </c>
      <c r="Q9" s="2">
        <v>45.97</v>
      </c>
      <c r="R9">
        <f>Q9/M9</f>
        <v>1.2171035213132113</v>
      </c>
    </row>
    <row r="10" spans="1:18" x14ac:dyDescent="0.25">
      <c r="A10">
        <v>0.3</v>
      </c>
      <c r="B10">
        <v>12</v>
      </c>
      <c r="C10">
        <v>14</v>
      </c>
      <c r="D10">
        <v>0.25</v>
      </c>
      <c r="F10" s="1">
        <v>35</v>
      </c>
      <c r="G10" s="2">
        <v>41</v>
      </c>
      <c r="H10">
        <f t="shared" si="0"/>
        <v>1.1714285714285715</v>
      </c>
      <c r="J10">
        <v>42.5</v>
      </c>
      <c r="K10">
        <v>38.5</v>
      </c>
      <c r="L10">
        <v>41.4</v>
      </c>
      <c r="M10" s="1">
        <f t="shared" si="2"/>
        <v>40.800000000000004</v>
      </c>
      <c r="N10">
        <v>44.2</v>
      </c>
      <c r="O10">
        <v>44.6</v>
      </c>
      <c r="P10">
        <v>42.5</v>
      </c>
      <c r="Q10" s="2">
        <f t="shared" si="3"/>
        <v>43.766666666666673</v>
      </c>
      <c r="R10">
        <f t="shared" si="1"/>
        <v>1.0727124183006536</v>
      </c>
    </row>
    <row r="27" spans="13:13" x14ac:dyDescent="0.25">
      <c r="M27" t="s">
        <v>14</v>
      </c>
    </row>
    <row r="28" spans="13:13" x14ac:dyDescent="0.25">
      <c r="M28" t="s">
        <v>15</v>
      </c>
    </row>
  </sheetData>
  <conditionalFormatting sqref="R1:R1048576 H2:H10">
    <cfRule type="cellIs" dxfId="0" priority="2" operator="greaterThan">
      <formula>1.2</formula>
    </cfRule>
  </conditionalFormatting>
  <pageMargins left="0.7" right="0.7" top="0.75" bottom="0.75" header="0.3" footer="0.3"/>
  <pageSetup paperSize="9" orientation="portrait" r:id="rId1"/>
  <ignoredErrors>
    <ignoredError sqref="H10 H2:H5 H6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Junk, Paul</dc:creator>
  <cp:lastModifiedBy>Junk, Paul</cp:lastModifiedBy>
  <dcterms:created xsi:type="dcterms:W3CDTF">2025-12-08T07:59:35Z</dcterms:created>
  <dcterms:modified xsi:type="dcterms:W3CDTF">2026-01-15T09:49:56Z</dcterms:modified>
</cp:coreProperties>
</file>