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99_Austausch\JKL\Junk.Paul\Measurements\"/>
    </mc:Choice>
  </mc:AlternateContent>
  <bookViews>
    <workbookView xWindow="-24870" yWindow="1890" windowWidth="24165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2" i="1" l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178" i="1" l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174" i="1" l="1"/>
  <c r="R164" i="1"/>
  <c r="R165" i="1"/>
  <c r="R166" i="1"/>
  <c r="R167" i="1"/>
  <c r="R168" i="1"/>
  <c r="R169" i="1"/>
  <c r="R170" i="1"/>
  <c r="R171" i="1"/>
  <c r="R172" i="1"/>
  <c r="R173" i="1"/>
  <c r="R175" i="1"/>
  <c r="R176" i="1"/>
  <c r="R177" i="1"/>
  <c r="R51" i="1" l="1"/>
  <c r="R56" i="1" l="1"/>
  <c r="R55" i="1"/>
  <c r="R54" i="1"/>
  <c r="R53" i="1"/>
  <c r="R52" i="1"/>
  <c r="R39" i="1"/>
  <c r="R40" i="1"/>
  <c r="R41" i="1"/>
  <c r="R42" i="1"/>
  <c r="R43" i="1"/>
  <c r="R44" i="1"/>
  <c r="R45" i="1"/>
  <c r="R46" i="1"/>
  <c r="R47" i="1"/>
  <c r="R48" i="1"/>
  <c r="R49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26" i="1" l="1"/>
  <c r="R27" i="1"/>
  <c r="R28" i="1"/>
  <c r="R29" i="1"/>
  <c r="R30" i="1"/>
  <c r="R31" i="1"/>
  <c r="R32" i="1"/>
  <c r="R33" i="1"/>
  <c r="R34" i="1"/>
  <c r="R35" i="1"/>
  <c r="R36" i="1"/>
  <c r="R37" i="1"/>
  <c r="R38" i="1"/>
  <c r="R6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3" i="1"/>
  <c r="R4" i="1"/>
  <c r="R5" i="1"/>
  <c r="R7" i="1"/>
  <c r="R8" i="1"/>
  <c r="R2" i="1"/>
</calcChain>
</file>

<file path=xl/sharedStrings.xml><?xml version="1.0" encoding="utf-8"?>
<sst xmlns="http://schemas.openxmlformats.org/spreadsheetml/2006/main" count="1387" uniqueCount="99">
  <si>
    <t>Date</t>
  </si>
  <si>
    <t>QCM_Freq_beg</t>
  </si>
  <si>
    <t>QCM_freq_end</t>
  </si>
  <si>
    <t>Name</t>
  </si>
  <si>
    <t>Mag_acc</t>
  </si>
  <si>
    <t>Mag_macro</t>
  </si>
  <si>
    <t>#Pulses</t>
  </si>
  <si>
    <t>Base_Pa</t>
  </si>
  <si>
    <t>Work_Pa</t>
  </si>
  <si>
    <t>25.08.25</t>
  </si>
  <si>
    <t>V_acc</t>
  </si>
  <si>
    <t>V_mac</t>
  </si>
  <si>
    <t>1 us</t>
  </si>
  <si>
    <t>2 s</t>
  </si>
  <si>
    <t>25.08.26</t>
  </si>
  <si>
    <t>Mass (g)</t>
  </si>
  <si>
    <t>Pump_pos</t>
  </si>
  <si>
    <t>Flowrate</t>
  </si>
  <si>
    <t>10cm</t>
  </si>
  <si>
    <t>dist.</t>
  </si>
  <si>
    <t>0-29</t>
  </si>
  <si>
    <t>30-59</t>
  </si>
  <si>
    <t>60-90</t>
  </si>
  <si>
    <t>91-112</t>
  </si>
  <si>
    <t>113-144</t>
  </si>
  <si>
    <t>145-171</t>
  </si>
  <si>
    <t>173-203</t>
  </si>
  <si>
    <t>204-232</t>
  </si>
  <si>
    <t>233-261</t>
  </si>
  <si>
    <t>262-284</t>
  </si>
  <si>
    <t>317-345</t>
  </si>
  <si>
    <t>285-316</t>
  </si>
  <si>
    <t>346-377</t>
  </si>
  <si>
    <t>378-389</t>
  </si>
  <si>
    <t>390-409</t>
  </si>
  <si>
    <t>410-421</t>
  </si>
  <si>
    <t>422-449</t>
  </si>
  <si>
    <t>450-469</t>
  </si>
  <si>
    <t>Off</t>
  </si>
  <si>
    <t>Pulse</t>
  </si>
  <si>
    <t>suf</t>
  </si>
  <si>
    <t>QCM+Prob_metal</t>
  </si>
  <si>
    <t>QCM+Prob_N2</t>
  </si>
  <si>
    <t>Note</t>
  </si>
  <si>
    <t>no avg possible for Probe</t>
  </si>
  <si>
    <t>25.08.27</t>
  </si>
  <si>
    <t>478-479</t>
  </si>
  <si>
    <t>486-487</t>
  </si>
  <si>
    <t>488-489</t>
  </si>
  <si>
    <t>25.08.29</t>
  </si>
  <si>
    <t>20cm</t>
  </si>
  <si>
    <t>Pressure more like 0.12</t>
  </si>
  <si>
    <t>Pressure more like 0.053</t>
  </si>
  <si>
    <t>Pressure more like 0.048</t>
  </si>
  <si>
    <t>pressure more like 0.285</t>
  </si>
  <si>
    <t>pressure more like 0.068</t>
  </si>
  <si>
    <t>pressure more like .023</t>
  </si>
  <si>
    <t>14cm</t>
  </si>
  <si>
    <t>25.09.08</t>
  </si>
  <si>
    <t>more like 0.102</t>
  </si>
  <si>
    <t>Pressure more like 0.115</t>
  </si>
  <si>
    <t>moer like 0.0485</t>
  </si>
  <si>
    <t>more like 0.04</t>
  </si>
  <si>
    <t>more like 0.31</t>
  </si>
  <si>
    <t>more like 0.0675</t>
  </si>
  <si>
    <t>more like 0.28</t>
  </si>
  <si>
    <t>more like 0.057</t>
  </si>
  <si>
    <t>more like 0.02</t>
  </si>
  <si>
    <t>like 0.025</t>
  </si>
  <si>
    <t>25.09.09</t>
  </si>
  <si>
    <t>more like 0.125</t>
  </si>
  <si>
    <t>more li ke 0.18</t>
  </si>
  <si>
    <t>more like 0.17</t>
  </si>
  <si>
    <t>more like 0.27</t>
  </si>
  <si>
    <t>more like 0.255</t>
  </si>
  <si>
    <t>more like 0.065</t>
  </si>
  <si>
    <t>says recorded 53 pulses not sure</t>
  </si>
  <si>
    <t>more like 0.056</t>
  </si>
  <si>
    <t>16cm</t>
  </si>
  <si>
    <t>25.09.10</t>
  </si>
  <si>
    <t>more like 0.104</t>
  </si>
  <si>
    <t>more like 0.046</t>
  </si>
  <si>
    <t>more like 0.040</t>
  </si>
  <si>
    <t>more like 0.171</t>
  </si>
  <si>
    <t>more like 0.181</t>
  </si>
  <si>
    <t>more like 0.32</t>
  </si>
  <si>
    <t>more like 0.072</t>
  </si>
  <si>
    <t>more like 0.060</t>
  </si>
  <si>
    <t>12cm</t>
  </si>
  <si>
    <t>25.09.11</t>
  </si>
  <si>
    <t>18cm</t>
  </si>
  <si>
    <t>more like 0.131</t>
  </si>
  <si>
    <t>more like 0.11</t>
  </si>
  <si>
    <t>more like 0.051</t>
  </si>
  <si>
    <t>more like 0.19</t>
  </si>
  <si>
    <t>more like 0.275</t>
  </si>
  <si>
    <t>more like 0.086</t>
  </si>
  <si>
    <t>more like 0.027</t>
  </si>
  <si>
    <t>more like 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</si>
</sst>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2">
    <xf numFmtId="0" fontId="0" fillId="0" borderId="0" xfId="0"/>
    <xf numFmtId="11" fontId="0" fillId="0" borderId="0" xfId="0" applyNumberFormat="1"/>
    <xf numFmtId="0" fontId="1" fillId="2" borderId="0" xfId="1"/>
    <xf numFmtId="0" fontId="3" fillId="4" borderId="1" xfId="3" applyNumberFormat="1"/>
    <xf numFmtId="0" fontId="3" fillId="4" borderId="1" xfId="3"/>
    <xf numFmtId="0" fontId="3" fillId="4" borderId="2" xfId="3" applyBorder="1"/>
    <xf numFmtId="0" fontId="0" fillId="0" borderId="0" xfId="0" applyAlignment="1">
      <alignment horizontal="left" indent="1"/>
    </xf>
    <xf numFmtId="0" fontId="0" fillId="5" borderId="0" xfId="0" applyFill="1"/>
    <xf numFmtId="0" fontId="0" fillId="0" borderId="0" xfId="0" applyAlignment="1">
      <alignment horizontal="left"/>
    </xf>
    <xf numFmtId="0" fontId="2" fillId="0" borderId="0" xfId="2" applyNumberFormat="1" applyFill="1"/>
    <xf numFmtId="0" fontId="1" fillId="0" borderId="0" xfId="1" applyFill="1"/>
    <xf numFmtId="0" fontId="3" fillId="4" borderId="0" xfId="3" applyBorder="1"/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5"/>
  <sheetViews>
    <sheetView tabSelected="1" zoomScaleNormal="100" workbookViewId="0">
      <pane ySplit="1" topLeftCell="A253" activePane="bottomLeft" state="frozen"/>
      <selection pane="bottomLeft" activeCell="T264" sqref="T264"/>
    </sheetView>
  </sheetViews>
  <sheetFormatPr defaultRowHeight="15" x14ac:dyDescent="0.25"/>
  <cols>
    <col min="1" max="1" width="11.5703125" customWidth="1"/>
    <col min="2" max="2" width="5.5703125" bestFit="1" customWidth="1"/>
    <col min="3" max="3" width="16.7109375" bestFit="1" customWidth="1"/>
    <col min="4" max="4" width="9.28515625" customWidth="1"/>
    <col min="5" max="5" width="8.28515625" bestFit="1" customWidth="1"/>
    <col min="6" max="6" width="8.85546875" bestFit="1" customWidth="1"/>
    <col min="7" max="7" width="10.28515625" customWidth="1"/>
    <col min="8" max="8" width="10.28515625" bestFit="1" customWidth="1"/>
    <col min="9" max="9" width="8.5703125" style="7" bestFit="1" customWidth="1"/>
    <col min="11" max="11" width="8.5703125" bestFit="1" customWidth="1"/>
    <col min="12" max="12" width="11.140625" bestFit="1" customWidth="1"/>
    <col min="13" max="13" width="7.7109375" bestFit="1" customWidth="1"/>
    <col min="14" max="14" width="5.85546875" bestFit="1" customWidth="1"/>
    <col min="15" max="15" width="3.85546875" bestFit="1" customWidth="1"/>
    <col min="16" max="16" width="14.7109375" bestFit="1" customWidth="1"/>
    <col min="17" max="17" width="14.5703125" bestFit="1" customWidth="1"/>
    <col min="18" max="18" width="12" style="2" bestFit="1" customWidth="1"/>
    <col min="19" max="19" width="12" style="10" customWidth="1"/>
    <col min="20" max="20" width="23.28515625" customWidth="1"/>
  </cols>
  <sheetData>
    <row r="1" spans="1:20" x14ac:dyDescent="0.25">
      <c r="A1" t="s">
        <v>0</v>
      </c>
      <c r="B1" t="s">
        <v>19</v>
      </c>
      <c r="C1" t="s">
        <v>3</v>
      </c>
      <c r="D1" t="s">
        <v>40</v>
      </c>
      <c r="E1" t="s">
        <v>7</v>
      </c>
      <c r="F1" t="s">
        <v>8</v>
      </c>
      <c r="G1" t="s">
        <v>17</v>
      </c>
      <c r="H1" t="s">
        <v>16</v>
      </c>
      <c r="I1" s="7" t="s">
        <v>10</v>
      </c>
      <c r="J1" t="s">
        <v>4</v>
      </c>
      <c r="K1" t="s">
        <v>11</v>
      </c>
      <c r="L1" t="s">
        <v>5</v>
      </c>
      <c r="M1" t="s">
        <v>6</v>
      </c>
      <c r="N1" t="s">
        <v>39</v>
      </c>
      <c r="O1" t="s">
        <v>38</v>
      </c>
      <c r="P1" t="s">
        <v>1</v>
      </c>
      <c r="Q1" t="s">
        <v>2</v>
      </c>
      <c r="R1" s="2" t="s">
        <v>15</v>
      </c>
      <c r="T1" t="s">
        <v>43</v>
      </c>
    </row>
    <row r="2" spans="1:20" x14ac:dyDescent="0.25">
      <c r="A2" t="s">
        <v>9</v>
      </c>
      <c r="B2" t="s">
        <v>18</v>
      </c>
      <c r="E2" s="1">
        <v>1.2500000000000001E-5</v>
      </c>
      <c r="F2" s="1">
        <v>1.2500000000000001E-5</v>
      </c>
      <c r="G2">
        <v>0</v>
      </c>
      <c r="H2">
        <v>1000</v>
      </c>
      <c r="I2" s="7">
        <v>0</v>
      </c>
      <c r="J2">
        <v>0</v>
      </c>
      <c r="K2">
        <v>400</v>
      </c>
      <c r="M2">
        <v>32</v>
      </c>
      <c r="N2" t="s">
        <v>12</v>
      </c>
      <c r="O2" t="s">
        <v>13</v>
      </c>
      <c r="P2">
        <v>5987485.4759999998</v>
      </c>
      <c r="Q2">
        <v>5987480.7220000001</v>
      </c>
      <c r="R2" s="2">
        <f>0.0000000188146023 * ( P2 - Q2 )</f>
        <v>8.9444619329013351E-8</v>
      </c>
    </row>
    <row r="3" spans="1:20" x14ac:dyDescent="0.25">
      <c r="A3" t="s">
        <v>9</v>
      </c>
      <c r="B3" t="s">
        <v>18</v>
      </c>
      <c r="C3" t="s">
        <v>41</v>
      </c>
      <c r="D3" s="8">
        <v>0</v>
      </c>
      <c r="E3" s="1">
        <v>1.2500000000000001E-5</v>
      </c>
      <c r="F3" s="1">
        <v>1.2500000000000001E-5</v>
      </c>
      <c r="G3">
        <v>0</v>
      </c>
      <c r="H3">
        <v>1000</v>
      </c>
      <c r="I3" s="7">
        <v>0</v>
      </c>
      <c r="J3">
        <v>0</v>
      </c>
      <c r="K3">
        <v>400</v>
      </c>
      <c r="M3">
        <v>32</v>
      </c>
      <c r="N3" t="s">
        <v>12</v>
      </c>
      <c r="O3" t="s">
        <v>13</v>
      </c>
      <c r="P3">
        <v>5987480.8660000004</v>
      </c>
      <c r="Q3">
        <v>5987472.2209999999</v>
      </c>
      <c r="R3" s="2">
        <f t="shared" ref="R3:R67" si="0">0.0000000188146023 * ( P3 - Q3 )</f>
        <v>1.6265223689261169E-7</v>
      </c>
    </row>
    <row r="4" spans="1:20" x14ac:dyDescent="0.25">
      <c r="A4" t="s">
        <v>9</v>
      </c>
      <c r="B4" t="s">
        <v>18</v>
      </c>
      <c r="C4" t="s">
        <v>41</v>
      </c>
      <c r="D4" s="8">
        <v>1</v>
      </c>
      <c r="E4" s="1">
        <v>1.2500000000000001E-5</v>
      </c>
      <c r="F4" s="1">
        <v>1.2500000000000001E-5</v>
      </c>
      <c r="G4">
        <v>0</v>
      </c>
      <c r="H4">
        <v>1000</v>
      </c>
      <c r="I4" s="7">
        <v>0</v>
      </c>
      <c r="J4">
        <v>0</v>
      </c>
      <c r="K4">
        <v>400</v>
      </c>
      <c r="M4">
        <v>32</v>
      </c>
      <c r="N4" t="s">
        <v>12</v>
      </c>
      <c r="O4" t="s">
        <v>13</v>
      </c>
      <c r="P4">
        <v>5987472.2209999999</v>
      </c>
      <c r="Q4">
        <v>5987463.1449999996</v>
      </c>
      <c r="R4" s="2">
        <f t="shared" si="0"/>
        <v>1.7076133048138845E-7</v>
      </c>
    </row>
    <row r="5" spans="1:20" x14ac:dyDescent="0.25">
      <c r="A5" t="s">
        <v>9</v>
      </c>
      <c r="B5" t="s">
        <v>18</v>
      </c>
      <c r="C5" t="s">
        <v>41</v>
      </c>
      <c r="D5" s="8">
        <v>2</v>
      </c>
      <c r="E5" s="1">
        <v>1.2500000000000001E-5</v>
      </c>
      <c r="F5" s="1">
        <v>1.2500000000000001E-5</v>
      </c>
      <c r="G5">
        <v>0</v>
      </c>
      <c r="H5">
        <v>1000</v>
      </c>
      <c r="I5" s="7">
        <v>0</v>
      </c>
      <c r="J5">
        <v>0</v>
      </c>
      <c r="K5">
        <v>400</v>
      </c>
      <c r="M5">
        <v>32</v>
      </c>
      <c r="N5" t="s">
        <v>12</v>
      </c>
      <c r="O5" t="s">
        <v>13</v>
      </c>
      <c r="P5">
        <v>5987463.1449999996</v>
      </c>
      <c r="Q5">
        <v>5987453.7800000003</v>
      </c>
      <c r="R5" s="2">
        <f t="shared" si="0"/>
        <v>1.7619875052618292E-7</v>
      </c>
    </row>
    <row r="6" spans="1:20" x14ac:dyDescent="0.25">
      <c r="A6" t="s">
        <v>9</v>
      </c>
      <c r="B6" t="s">
        <v>18</v>
      </c>
      <c r="C6" t="s">
        <v>41</v>
      </c>
      <c r="D6" s="8">
        <v>3</v>
      </c>
      <c r="E6" s="1">
        <v>1.2500000000000001E-5</v>
      </c>
      <c r="F6" s="1">
        <v>1.2500000000000001E-5</v>
      </c>
      <c r="G6">
        <v>0</v>
      </c>
      <c r="H6">
        <v>1000</v>
      </c>
      <c r="I6" s="7">
        <v>0</v>
      </c>
      <c r="J6">
        <v>0</v>
      </c>
      <c r="K6">
        <v>400</v>
      </c>
      <c r="M6">
        <v>32</v>
      </c>
      <c r="N6" t="s">
        <v>12</v>
      </c>
      <c r="O6" t="s">
        <v>13</v>
      </c>
      <c r="P6">
        <v>5987451.1869999999</v>
      </c>
      <c r="Q6">
        <v>5987442.398</v>
      </c>
      <c r="R6" s="2">
        <f>0.0000000188146023 * ( P6 - Q6 )</f>
        <v>1.6536153961231696E-7</v>
      </c>
    </row>
    <row r="7" spans="1:20" x14ac:dyDescent="0.25">
      <c r="A7" t="s">
        <v>9</v>
      </c>
      <c r="B7" t="s">
        <v>18</v>
      </c>
      <c r="C7" t="s">
        <v>41</v>
      </c>
      <c r="D7" s="8">
        <v>4</v>
      </c>
      <c r="E7" s="1">
        <v>1.2500000000000001E-5</v>
      </c>
      <c r="F7" s="1">
        <v>1.2500000000000001E-5</v>
      </c>
      <c r="G7">
        <v>0</v>
      </c>
      <c r="H7">
        <v>1000</v>
      </c>
      <c r="I7" s="7">
        <v>0</v>
      </c>
      <c r="J7">
        <v>0</v>
      </c>
      <c r="K7">
        <v>400</v>
      </c>
      <c r="M7">
        <v>32</v>
      </c>
      <c r="N7" t="s">
        <v>12</v>
      </c>
      <c r="O7" t="s">
        <v>13</v>
      </c>
      <c r="P7">
        <v>5987442.398</v>
      </c>
      <c r="Q7">
        <v>5987433.466</v>
      </c>
      <c r="R7" s="2">
        <f t="shared" si="0"/>
        <v>1.6805202774416074E-7</v>
      </c>
    </row>
    <row r="8" spans="1:20" x14ac:dyDescent="0.25">
      <c r="A8" t="s">
        <v>9</v>
      </c>
      <c r="B8" t="s">
        <v>18</v>
      </c>
      <c r="C8" t="s">
        <v>41</v>
      </c>
      <c r="D8" s="8">
        <v>5</v>
      </c>
      <c r="E8" s="1">
        <v>1.2500000000000001E-5</v>
      </c>
      <c r="F8" s="1">
        <v>1.2500000000000001E-5</v>
      </c>
      <c r="G8">
        <v>0</v>
      </c>
      <c r="H8">
        <v>1000</v>
      </c>
      <c r="I8" s="7">
        <v>0</v>
      </c>
      <c r="J8">
        <v>0</v>
      </c>
      <c r="K8">
        <v>400</v>
      </c>
      <c r="M8">
        <v>32</v>
      </c>
      <c r="N8" t="s">
        <v>12</v>
      </c>
      <c r="O8" t="s">
        <v>13</v>
      </c>
      <c r="P8">
        <v>5987433.466</v>
      </c>
      <c r="Q8">
        <v>5987423.8130000001</v>
      </c>
      <c r="R8" s="2">
        <f t="shared" si="0"/>
        <v>1.816173560006384E-7</v>
      </c>
    </row>
    <row r="9" spans="1:20" x14ac:dyDescent="0.25">
      <c r="A9" t="s">
        <v>14</v>
      </c>
      <c r="B9" t="s">
        <v>18</v>
      </c>
      <c r="C9" t="s">
        <v>41</v>
      </c>
      <c r="D9" s="8">
        <v>6</v>
      </c>
      <c r="E9" s="1">
        <v>1.73E-5</v>
      </c>
      <c r="F9" s="1">
        <v>1.73E-5</v>
      </c>
      <c r="G9">
        <v>0</v>
      </c>
      <c r="H9">
        <v>1000</v>
      </c>
      <c r="I9" s="7">
        <v>250</v>
      </c>
      <c r="J9">
        <v>0.25</v>
      </c>
      <c r="K9">
        <v>400</v>
      </c>
      <c r="M9">
        <v>32</v>
      </c>
      <c r="N9" t="s">
        <v>12</v>
      </c>
      <c r="O9" t="s">
        <v>13</v>
      </c>
      <c r="P9">
        <v>5987415.1679999996</v>
      </c>
      <c r="Q9">
        <v>5987382.176</v>
      </c>
      <c r="R9" s="2">
        <f t="shared" si="0"/>
        <v>6.2073135907445089E-7</v>
      </c>
    </row>
    <row r="10" spans="1:20" x14ac:dyDescent="0.25">
      <c r="A10" t="s">
        <v>14</v>
      </c>
      <c r="B10" t="s">
        <v>18</v>
      </c>
      <c r="C10" t="s">
        <v>41</v>
      </c>
      <c r="D10" s="8">
        <v>7</v>
      </c>
      <c r="E10" s="1">
        <v>1.73E-5</v>
      </c>
      <c r="F10" s="1">
        <v>1.73E-5</v>
      </c>
      <c r="G10">
        <v>0</v>
      </c>
      <c r="H10">
        <v>1000</v>
      </c>
      <c r="I10" s="7">
        <v>100</v>
      </c>
      <c r="J10">
        <v>0.1</v>
      </c>
      <c r="K10">
        <v>400</v>
      </c>
      <c r="M10">
        <v>32</v>
      </c>
      <c r="N10" t="s">
        <v>12</v>
      </c>
      <c r="O10" t="s">
        <v>13</v>
      </c>
      <c r="P10">
        <v>5987382.176</v>
      </c>
      <c r="Q10">
        <v>5987368.7779999999</v>
      </c>
      <c r="R10" s="2">
        <f t="shared" si="0"/>
        <v>2.5207804161624109E-7</v>
      </c>
    </row>
    <row r="11" spans="1:20" x14ac:dyDescent="0.25">
      <c r="A11" t="s">
        <v>14</v>
      </c>
      <c r="B11" t="s">
        <v>18</v>
      </c>
      <c r="C11" t="s">
        <v>41</v>
      </c>
      <c r="D11" s="8">
        <v>8</v>
      </c>
      <c r="E11" s="1">
        <v>1.73E-5</v>
      </c>
      <c r="F11" s="1">
        <v>1.73E-5</v>
      </c>
      <c r="G11">
        <v>0</v>
      </c>
      <c r="H11">
        <v>1000</v>
      </c>
      <c r="I11" s="7">
        <v>200</v>
      </c>
      <c r="J11">
        <v>0.2</v>
      </c>
      <c r="K11">
        <v>400</v>
      </c>
      <c r="M11">
        <v>32</v>
      </c>
      <c r="N11" t="s">
        <v>12</v>
      </c>
      <c r="O11" t="s">
        <v>13</v>
      </c>
      <c r="P11">
        <v>5987368.7779999999</v>
      </c>
      <c r="Q11">
        <v>5987341.693</v>
      </c>
      <c r="R11" s="2">
        <f t="shared" si="0"/>
        <v>5.0959350329479912E-7</v>
      </c>
    </row>
    <row r="12" spans="1:20" x14ac:dyDescent="0.25">
      <c r="A12" t="s">
        <v>14</v>
      </c>
      <c r="B12" t="s">
        <v>18</v>
      </c>
      <c r="C12" t="s">
        <v>41</v>
      </c>
      <c r="D12" s="8">
        <v>9</v>
      </c>
      <c r="E12" s="1">
        <v>1.73E-5</v>
      </c>
      <c r="F12" s="1">
        <v>1.73E-5</v>
      </c>
      <c r="G12">
        <v>0</v>
      </c>
      <c r="H12">
        <v>1000</v>
      </c>
      <c r="I12" s="7">
        <v>50</v>
      </c>
      <c r="J12">
        <v>0.05</v>
      </c>
      <c r="K12">
        <v>400</v>
      </c>
      <c r="M12">
        <v>32</v>
      </c>
      <c r="N12" t="s">
        <v>12</v>
      </c>
      <c r="O12" t="s">
        <v>13</v>
      </c>
      <c r="P12">
        <v>5987341.693</v>
      </c>
      <c r="Q12">
        <v>5987337.5149999997</v>
      </c>
      <c r="R12" s="2">
        <f t="shared" si="0"/>
        <v>7.8607408415147373E-8</v>
      </c>
    </row>
    <row r="13" spans="1:20" x14ac:dyDescent="0.25">
      <c r="A13" t="s">
        <v>14</v>
      </c>
      <c r="B13" t="s">
        <v>18</v>
      </c>
      <c r="C13" t="s">
        <v>41</v>
      </c>
      <c r="D13" s="8">
        <v>10</v>
      </c>
      <c r="E13" s="1">
        <v>1.73E-5</v>
      </c>
      <c r="F13" s="1">
        <v>1.73E-5</v>
      </c>
      <c r="G13">
        <v>0</v>
      </c>
      <c r="H13">
        <v>1000</v>
      </c>
      <c r="I13" s="7">
        <v>150</v>
      </c>
      <c r="J13">
        <v>0.15</v>
      </c>
      <c r="K13">
        <v>400</v>
      </c>
      <c r="M13">
        <v>32</v>
      </c>
      <c r="N13" t="s">
        <v>12</v>
      </c>
      <c r="O13" t="s">
        <v>13</v>
      </c>
      <c r="P13">
        <v>5987337.5149999997</v>
      </c>
      <c r="Q13">
        <v>5987317.2010000004</v>
      </c>
      <c r="R13" s="2">
        <f t="shared" si="0"/>
        <v>3.821998311093035E-7</v>
      </c>
    </row>
    <row r="14" spans="1:20" x14ac:dyDescent="0.25">
      <c r="A14" t="s">
        <v>14</v>
      </c>
      <c r="B14" t="s">
        <v>18</v>
      </c>
      <c r="C14" t="s">
        <v>42</v>
      </c>
      <c r="D14" t="s">
        <v>20</v>
      </c>
      <c r="E14" s="1">
        <v>1.25E-4</v>
      </c>
      <c r="F14" s="3">
        <v>0.1</v>
      </c>
      <c r="G14">
        <v>3.95</v>
      </c>
      <c r="H14" s="9">
        <v>345</v>
      </c>
      <c r="I14" s="7">
        <v>0</v>
      </c>
      <c r="J14">
        <v>0</v>
      </c>
      <c r="K14">
        <v>400</v>
      </c>
      <c r="M14">
        <v>32</v>
      </c>
      <c r="N14" t="s">
        <v>12</v>
      </c>
      <c r="O14" t="s">
        <v>13</v>
      </c>
      <c r="P14">
        <v>5987219.9570000004</v>
      </c>
      <c r="Q14">
        <v>5987213.3300000001</v>
      </c>
      <c r="R14" s="2">
        <f t="shared" si="0"/>
        <v>1.2468436944826791E-7</v>
      </c>
    </row>
    <row r="15" spans="1:20" x14ac:dyDescent="0.25">
      <c r="A15" t="s">
        <v>14</v>
      </c>
      <c r="B15" t="s">
        <v>18</v>
      </c>
      <c r="C15" t="s">
        <v>42</v>
      </c>
      <c r="D15" t="s">
        <v>21</v>
      </c>
      <c r="E15" s="1">
        <v>1.25E-4</v>
      </c>
      <c r="F15" s="3">
        <v>0.1</v>
      </c>
      <c r="G15">
        <v>3.95</v>
      </c>
      <c r="H15" s="9">
        <v>345</v>
      </c>
      <c r="I15" s="7">
        <v>250</v>
      </c>
      <c r="J15">
        <v>0.25</v>
      </c>
      <c r="K15">
        <v>400</v>
      </c>
      <c r="M15">
        <v>32</v>
      </c>
      <c r="N15" t="s">
        <v>12</v>
      </c>
      <c r="O15" t="s">
        <v>13</v>
      </c>
      <c r="P15">
        <v>5987213.3300000001</v>
      </c>
      <c r="Q15">
        <v>5987182.0690000001</v>
      </c>
      <c r="R15" s="2">
        <f t="shared" si="0"/>
        <v>5.8816328249917858E-7</v>
      </c>
    </row>
    <row r="16" spans="1:20" x14ac:dyDescent="0.25">
      <c r="A16" t="s">
        <v>14</v>
      </c>
      <c r="B16" t="s">
        <v>18</v>
      </c>
      <c r="C16" t="s">
        <v>42</v>
      </c>
      <c r="D16" t="s">
        <v>22</v>
      </c>
      <c r="E16" s="1">
        <v>1.25E-4</v>
      </c>
      <c r="F16" s="3">
        <v>0.1</v>
      </c>
      <c r="G16">
        <v>3.95</v>
      </c>
      <c r="H16" s="9">
        <v>345</v>
      </c>
      <c r="I16" s="7">
        <v>100</v>
      </c>
      <c r="J16">
        <v>0.1</v>
      </c>
      <c r="K16">
        <v>400</v>
      </c>
      <c r="M16">
        <v>32</v>
      </c>
      <c r="N16" t="s">
        <v>12</v>
      </c>
      <c r="O16" t="s">
        <v>13</v>
      </c>
      <c r="P16">
        <v>5987182.0690000001</v>
      </c>
      <c r="Q16">
        <v>5987168.8159999996</v>
      </c>
      <c r="R16" s="2">
        <f t="shared" si="0"/>
        <v>2.4934992429115189E-7</v>
      </c>
    </row>
    <row r="17" spans="1:20" x14ac:dyDescent="0.25">
      <c r="A17" t="s">
        <v>14</v>
      </c>
      <c r="B17" t="s">
        <v>18</v>
      </c>
      <c r="C17" t="s">
        <v>42</v>
      </c>
      <c r="D17" t="s">
        <v>23</v>
      </c>
      <c r="E17" s="1">
        <v>1.25E-4</v>
      </c>
      <c r="F17" s="3">
        <v>0.1</v>
      </c>
      <c r="G17">
        <v>3.95</v>
      </c>
      <c r="H17" s="9">
        <v>345</v>
      </c>
      <c r="I17" s="7">
        <v>200</v>
      </c>
      <c r="J17">
        <v>0.2</v>
      </c>
      <c r="K17">
        <v>400</v>
      </c>
      <c r="M17">
        <v>32</v>
      </c>
      <c r="N17" t="s">
        <v>12</v>
      </c>
      <c r="O17" t="s">
        <v>13</v>
      </c>
      <c r="P17">
        <v>5987168.8159999996</v>
      </c>
      <c r="Q17">
        <v>5987142.8849999998</v>
      </c>
      <c r="R17" s="2">
        <f t="shared" si="0"/>
        <v>4.8788145223877676E-7</v>
      </c>
    </row>
    <row r="18" spans="1:20" x14ac:dyDescent="0.25">
      <c r="A18" t="s">
        <v>14</v>
      </c>
      <c r="B18" t="s">
        <v>18</v>
      </c>
      <c r="C18" t="s">
        <v>42</v>
      </c>
      <c r="D18" t="s">
        <v>24</v>
      </c>
      <c r="E18" s="1">
        <v>1.25E-4</v>
      </c>
      <c r="F18" s="3">
        <v>0.1</v>
      </c>
      <c r="G18">
        <v>3.95</v>
      </c>
      <c r="H18" s="9">
        <v>345</v>
      </c>
      <c r="I18" s="7">
        <v>50</v>
      </c>
      <c r="J18">
        <v>0.05</v>
      </c>
      <c r="K18">
        <v>400</v>
      </c>
      <c r="M18">
        <v>32</v>
      </c>
      <c r="N18" t="s">
        <v>12</v>
      </c>
      <c r="O18" t="s">
        <v>13</v>
      </c>
      <c r="P18">
        <v>5987142.8849999998</v>
      </c>
      <c r="Q18">
        <v>5987138.1310000001</v>
      </c>
      <c r="R18" s="2">
        <f t="shared" si="0"/>
        <v>8.9444619329013351E-8</v>
      </c>
    </row>
    <row r="19" spans="1:20" x14ac:dyDescent="0.25">
      <c r="A19" t="s">
        <v>14</v>
      </c>
      <c r="B19" t="s">
        <v>18</v>
      </c>
      <c r="C19" t="s">
        <v>42</v>
      </c>
      <c r="D19" t="s">
        <v>25</v>
      </c>
      <c r="E19" s="1">
        <v>1.25E-4</v>
      </c>
      <c r="F19" s="3">
        <v>0.1</v>
      </c>
      <c r="G19">
        <v>3.95</v>
      </c>
      <c r="H19" s="9">
        <v>345</v>
      </c>
      <c r="I19" s="7">
        <v>150</v>
      </c>
      <c r="J19">
        <v>0.15</v>
      </c>
      <c r="K19">
        <v>400</v>
      </c>
      <c r="M19">
        <v>32</v>
      </c>
      <c r="N19" t="s">
        <v>12</v>
      </c>
      <c r="O19" t="s">
        <v>13</v>
      </c>
      <c r="P19">
        <v>5987138.1310000001</v>
      </c>
      <c r="Q19">
        <v>5987118.9709999999</v>
      </c>
      <c r="R19" s="2">
        <f t="shared" si="0"/>
        <v>3.604877800708036E-7</v>
      </c>
    </row>
    <row r="20" spans="1:20" x14ac:dyDescent="0.25">
      <c r="A20" t="s">
        <v>14</v>
      </c>
      <c r="B20" t="s">
        <v>18</v>
      </c>
      <c r="C20" t="s">
        <v>42</v>
      </c>
      <c r="D20" t="s">
        <v>26</v>
      </c>
      <c r="E20" s="1">
        <v>1.25E-4</v>
      </c>
      <c r="F20" s="4">
        <v>0.05</v>
      </c>
      <c r="G20">
        <v>2.11</v>
      </c>
      <c r="H20" s="9">
        <v>345</v>
      </c>
      <c r="I20" s="7">
        <v>0</v>
      </c>
      <c r="J20">
        <v>0</v>
      </c>
      <c r="K20">
        <v>400</v>
      </c>
      <c r="M20">
        <v>32</v>
      </c>
      <c r="N20" t="s">
        <v>12</v>
      </c>
      <c r="O20" t="s">
        <v>13</v>
      </c>
      <c r="P20">
        <v>5987118.1069999998</v>
      </c>
      <c r="Q20">
        <v>5987111.0480000004</v>
      </c>
      <c r="R20" s="2">
        <f t="shared" si="0"/>
        <v>1.3281227762490616E-7</v>
      </c>
    </row>
    <row r="21" spans="1:20" x14ac:dyDescent="0.25">
      <c r="A21" t="s">
        <v>14</v>
      </c>
      <c r="B21" t="s">
        <v>18</v>
      </c>
      <c r="C21" t="s">
        <v>42</v>
      </c>
      <c r="D21" t="s">
        <v>27</v>
      </c>
      <c r="E21" s="1">
        <v>1.25E-4</v>
      </c>
      <c r="F21" s="4">
        <v>0.05</v>
      </c>
      <c r="G21">
        <v>2.11</v>
      </c>
      <c r="H21" s="9">
        <v>345</v>
      </c>
      <c r="I21" s="7">
        <v>250</v>
      </c>
      <c r="J21">
        <v>0.25</v>
      </c>
      <c r="K21">
        <v>400</v>
      </c>
      <c r="M21">
        <v>32</v>
      </c>
      <c r="N21" t="s">
        <v>12</v>
      </c>
      <c r="O21" t="s">
        <v>13</v>
      </c>
      <c r="P21">
        <v>5987111.0480000004</v>
      </c>
      <c r="Q21">
        <v>5987075.466</v>
      </c>
      <c r="R21" s="2">
        <f t="shared" si="0"/>
        <v>6.6946117904616976E-7</v>
      </c>
    </row>
    <row r="22" spans="1:20" x14ac:dyDescent="0.25">
      <c r="A22" t="s">
        <v>14</v>
      </c>
      <c r="B22" t="s">
        <v>18</v>
      </c>
      <c r="C22" t="s">
        <v>42</v>
      </c>
      <c r="D22" t="s">
        <v>28</v>
      </c>
      <c r="E22" s="1">
        <v>1.25E-4</v>
      </c>
      <c r="F22" s="4">
        <v>0.05</v>
      </c>
      <c r="G22">
        <v>2.11</v>
      </c>
      <c r="H22" s="9">
        <v>345</v>
      </c>
      <c r="I22" s="7">
        <v>100</v>
      </c>
      <c r="J22">
        <v>0.1</v>
      </c>
      <c r="K22">
        <v>400</v>
      </c>
      <c r="M22">
        <v>32</v>
      </c>
      <c r="N22" t="s">
        <v>12</v>
      </c>
      <c r="O22" t="s">
        <v>13</v>
      </c>
      <c r="P22">
        <v>5987075.466</v>
      </c>
      <c r="Q22">
        <v>5987060.6279999996</v>
      </c>
      <c r="R22" s="2">
        <f t="shared" si="0"/>
        <v>2.7917106893595096E-7</v>
      </c>
    </row>
    <row r="23" spans="1:20" x14ac:dyDescent="0.25">
      <c r="A23" t="s">
        <v>14</v>
      </c>
      <c r="B23" t="s">
        <v>18</v>
      </c>
      <c r="C23" t="s">
        <v>42</v>
      </c>
      <c r="D23" t="s">
        <v>29</v>
      </c>
      <c r="E23" s="1">
        <v>1.25E-4</v>
      </c>
      <c r="F23" s="4">
        <v>0.05</v>
      </c>
      <c r="G23">
        <v>2.11</v>
      </c>
      <c r="H23" s="9">
        <v>345</v>
      </c>
      <c r="I23" s="7">
        <v>200</v>
      </c>
      <c r="J23">
        <v>0.2</v>
      </c>
      <c r="K23">
        <v>400</v>
      </c>
      <c r="M23">
        <v>32</v>
      </c>
      <c r="N23" t="s">
        <v>12</v>
      </c>
      <c r="O23" t="s">
        <v>13</v>
      </c>
      <c r="P23">
        <v>5987060.6279999996</v>
      </c>
      <c r="Q23">
        <v>5987030.5209999997</v>
      </c>
      <c r="R23" s="2">
        <f t="shared" si="0"/>
        <v>5.6645123144315621E-7</v>
      </c>
    </row>
    <row r="24" spans="1:20" x14ac:dyDescent="0.25">
      <c r="A24" t="s">
        <v>14</v>
      </c>
      <c r="B24" t="s">
        <v>18</v>
      </c>
      <c r="C24" t="s">
        <v>42</v>
      </c>
      <c r="D24" t="s">
        <v>31</v>
      </c>
      <c r="E24" s="1">
        <v>1.25E-4</v>
      </c>
      <c r="F24" s="4">
        <v>0.05</v>
      </c>
      <c r="G24">
        <v>2.11</v>
      </c>
      <c r="H24" s="9">
        <v>345</v>
      </c>
      <c r="I24" s="7">
        <v>50</v>
      </c>
      <c r="J24">
        <v>0.05</v>
      </c>
      <c r="K24">
        <v>400</v>
      </c>
      <c r="M24">
        <v>32</v>
      </c>
      <c r="N24" t="s">
        <v>12</v>
      </c>
      <c r="O24" t="s">
        <v>13</v>
      </c>
      <c r="P24">
        <v>5987030.5209999997</v>
      </c>
      <c r="Q24">
        <v>5987026.0559999999</v>
      </c>
      <c r="R24" s="2">
        <f t="shared" si="0"/>
        <v>8.400719926669641E-8</v>
      </c>
    </row>
    <row r="25" spans="1:20" x14ac:dyDescent="0.25">
      <c r="A25" t="s">
        <v>14</v>
      </c>
      <c r="B25" t="s">
        <v>18</v>
      </c>
      <c r="C25" t="s">
        <v>42</v>
      </c>
      <c r="D25" t="s">
        <v>30</v>
      </c>
      <c r="E25" s="1">
        <v>1.25E-4</v>
      </c>
      <c r="F25" s="4">
        <v>0.05</v>
      </c>
      <c r="G25">
        <v>2.11</v>
      </c>
      <c r="H25" s="9">
        <v>345</v>
      </c>
      <c r="I25" s="7">
        <v>150</v>
      </c>
      <c r="J25">
        <v>0.15</v>
      </c>
      <c r="K25">
        <v>400</v>
      </c>
      <c r="M25">
        <v>32</v>
      </c>
      <c r="N25" t="s">
        <v>12</v>
      </c>
      <c r="O25" t="s">
        <v>13</v>
      </c>
      <c r="P25">
        <v>5987026.0559999999</v>
      </c>
      <c r="Q25">
        <v>5987004.5920000002</v>
      </c>
      <c r="R25" s="2">
        <f t="shared" si="0"/>
        <v>4.0383662376131245E-7</v>
      </c>
    </row>
    <row r="26" spans="1:20" x14ac:dyDescent="0.25">
      <c r="A26" t="s">
        <v>14</v>
      </c>
      <c r="B26" t="s">
        <v>18</v>
      </c>
      <c r="C26" t="s">
        <v>42</v>
      </c>
      <c r="D26" t="s">
        <v>32</v>
      </c>
      <c r="E26" s="1">
        <v>1.25E-4</v>
      </c>
      <c r="F26" s="5">
        <v>0.2</v>
      </c>
      <c r="G26">
        <v>8.1</v>
      </c>
      <c r="H26" s="9">
        <v>345</v>
      </c>
      <c r="I26" s="7">
        <v>0</v>
      </c>
      <c r="J26">
        <v>0</v>
      </c>
      <c r="K26">
        <v>400</v>
      </c>
      <c r="M26">
        <v>32</v>
      </c>
      <c r="N26" t="s">
        <v>12</v>
      </c>
      <c r="O26" t="s">
        <v>13</v>
      </c>
      <c r="P26">
        <v>5987002.8629999999</v>
      </c>
      <c r="Q26">
        <v>5986997.3890000004</v>
      </c>
      <c r="R26" s="2">
        <f t="shared" si="0"/>
        <v>1.0299113298010707E-7</v>
      </c>
    </row>
    <row r="27" spans="1:20" x14ac:dyDescent="0.25">
      <c r="A27" t="s">
        <v>14</v>
      </c>
      <c r="B27" t="s">
        <v>18</v>
      </c>
      <c r="C27" t="s">
        <v>42</v>
      </c>
      <c r="D27" t="s">
        <v>33</v>
      </c>
      <c r="E27" s="1">
        <v>1.25E-4</v>
      </c>
      <c r="F27" s="5">
        <v>0.2</v>
      </c>
      <c r="G27">
        <v>8.1</v>
      </c>
      <c r="H27" s="9">
        <v>345</v>
      </c>
      <c r="I27" s="7">
        <v>250</v>
      </c>
      <c r="J27">
        <v>0.25</v>
      </c>
      <c r="K27">
        <v>400</v>
      </c>
      <c r="M27">
        <v>32</v>
      </c>
      <c r="N27" t="s">
        <v>12</v>
      </c>
      <c r="O27" t="s">
        <v>13</v>
      </c>
      <c r="P27">
        <v>5986997.3890000004</v>
      </c>
      <c r="Q27">
        <v>5986967.426</v>
      </c>
      <c r="R27" s="2">
        <f t="shared" si="0"/>
        <v>5.63741928723451E-7</v>
      </c>
    </row>
    <row r="28" spans="1:20" x14ac:dyDescent="0.25">
      <c r="A28" t="s">
        <v>14</v>
      </c>
      <c r="B28" t="s">
        <v>18</v>
      </c>
      <c r="C28" t="s">
        <v>42</v>
      </c>
      <c r="D28" t="s">
        <v>34</v>
      </c>
      <c r="E28" s="1">
        <v>1.25E-4</v>
      </c>
      <c r="F28" s="5">
        <v>0.2</v>
      </c>
      <c r="G28">
        <v>8.1</v>
      </c>
      <c r="H28" s="9">
        <v>345</v>
      </c>
      <c r="I28" s="7">
        <v>100</v>
      </c>
      <c r="J28">
        <v>0.1</v>
      </c>
      <c r="K28">
        <v>400</v>
      </c>
      <c r="M28">
        <v>32</v>
      </c>
      <c r="N28" t="s">
        <v>12</v>
      </c>
      <c r="O28" t="s">
        <v>13</v>
      </c>
      <c r="P28">
        <v>5986903.3250000002</v>
      </c>
      <c r="Q28">
        <v>5986891.2249999996</v>
      </c>
      <c r="R28" s="2">
        <f>0.0000000188146023 * ( P28 - Q28 )</f>
        <v>2.2765668784051348E-7</v>
      </c>
    </row>
    <row r="29" spans="1:20" x14ac:dyDescent="0.25">
      <c r="A29" t="s">
        <v>14</v>
      </c>
      <c r="B29" t="s">
        <v>18</v>
      </c>
      <c r="C29" t="s">
        <v>42</v>
      </c>
      <c r="D29" t="s">
        <v>35</v>
      </c>
      <c r="E29" s="1">
        <v>1.25E-4</v>
      </c>
      <c r="F29" s="5">
        <v>0.2</v>
      </c>
      <c r="G29">
        <v>8.1</v>
      </c>
      <c r="H29" s="9">
        <v>345</v>
      </c>
      <c r="I29" s="7">
        <v>200</v>
      </c>
      <c r="J29">
        <v>0.2</v>
      </c>
      <c r="K29">
        <v>400</v>
      </c>
      <c r="M29">
        <v>32</v>
      </c>
      <c r="N29" t="s">
        <v>12</v>
      </c>
      <c r="O29" t="s">
        <v>13</v>
      </c>
      <c r="P29">
        <v>5986891.0810000002</v>
      </c>
      <c r="Q29">
        <v>5986865.585</v>
      </c>
      <c r="R29" s="2">
        <f>0.0000000188146023 * ( P29 - Q29 )</f>
        <v>4.7969710024598663E-7</v>
      </c>
    </row>
    <row r="30" spans="1:20" x14ac:dyDescent="0.25">
      <c r="A30" t="s">
        <v>14</v>
      </c>
      <c r="B30" t="s">
        <v>18</v>
      </c>
      <c r="C30" t="s">
        <v>42</v>
      </c>
      <c r="D30" t="s">
        <v>36</v>
      </c>
      <c r="E30" s="1">
        <v>1.25E-4</v>
      </c>
      <c r="F30" s="5">
        <v>0.2</v>
      </c>
      <c r="G30">
        <v>8.1</v>
      </c>
      <c r="H30" s="9">
        <v>345</v>
      </c>
      <c r="I30" s="7">
        <v>50</v>
      </c>
      <c r="J30">
        <v>0.05</v>
      </c>
      <c r="K30">
        <v>400</v>
      </c>
      <c r="M30">
        <v>32</v>
      </c>
      <c r="N30" t="s">
        <v>12</v>
      </c>
      <c r="O30" t="s">
        <v>13</v>
      </c>
      <c r="P30">
        <v>5986929.6849999996</v>
      </c>
      <c r="Q30">
        <v>5986925.3640000001</v>
      </c>
      <c r="R30" s="2">
        <f>0.0000000188146023 * ( P30 - Q30 )</f>
        <v>8.1297896529468686E-8</v>
      </c>
    </row>
    <row r="31" spans="1:20" x14ac:dyDescent="0.25">
      <c r="A31" t="s">
        <v>14</v>
      </c>
      <c r="B31" t="s">
        <v>18</v>
      </c>
      <c r="C31" t="s">
        <v>42</v>
      </c>
      <c r="D31" t="s">
        <v>37</v>
      </c>
      <c r="E31" s="1">
        <v>1.25E-4</v>
      </c>
      <c r="F31" s="5">
        <v>0.2</v>
      </c>
      <c r="G31">
        <v>8.1</v>
      </c>
      <c r="H31" s="9">
        <v>345</v>
      </c>
      <c r="I31" s="7">
        <v>150</v>
      </c>
      <c r="J31">
        <v>0.15</v>
      </c>
      <c r="K31">
        <v>400</v>
      </c>
      <c r="M31">
        <v>32</v>
      </c>
      <c r="N31" t="s">
        <v>12</v>
      </c>
      <c r="O31" t="s">
        <v>13</v>
      </c>
      <c r="P31">
        <v>5986925.3640000001</v>
      </c>
      <c r="Q31">
        <v>5986907.2139999997</v>
      </c>
      <c r="R31" s="2">
        <f>0.0000000188146023 * ( P31 - Q31 )</f>
        <v>3.4148503175200898E-7</v>
      </c>
    </row>
    <row r="32" spans="1:20" x14ac:dyDescent="0.25">
      <c r="A32" t="s">
        <v>14</v>
      </c>
      <c r="B32" t="s">
        <v>18</v>
      </c>
      <c r="C32" t="s">
        <v>42</v>
      </c>
      <c r="D32" s="6">
        <v>470</v>
      </c>
      <c r="E32" s="1">
        <v>1.25E-4</v>
      </c>
      <c r="F32" s="5">
        <v>0.3</v>
      </c>
      <c r="G32">
        <v>12.8</v>
      </c>
      <c r="H32" s="9">
        <v>345</v>
      </c>
      <c r="I32" s="7">
        <v>0</v>
      </c>
      <c r="J32">
        <v>0</v>
      </c>
      <c r="K32">
        <v>400</v>
      </c>
      <c r="M32">
        <v>32</v>
      </c>
      <c r="N32" t="s">
        <v>12</v>
      </c>
      <c r="O32" t="s">
        <v>13</v>
      </c>
      <c r="P32">
        <v>5986718.0860000001</v>
      </c>
      <c r="Q32">
        <v>5986712.324</v>
      </c>
      <c r="R32" s="2">
        <f t="shared" si="0"/>
        <v>1.0840973845456253E-7</v>
      </c>
      <c r="T32" t="s">
        <v>44</v>
      </c>
    </row>
    <row r="33" spans="1:20" x14ac:dyDescent="0.25">
      <c r="A33" t="s">
        <v>14</v>
      </c>
      <c r="B33" t="s">
        <v>18</v>
      </c>
      <c r="C33" t="s">
        <v>42</v>
      </c>
      <c r="D33" s="6">
        <v>471</v>
      </c>
      <c r="E33" s="1">
        <v>1.25E-4</v>
      </c>
      <c r="F33" s="5">
        <v>0.3</v>
      </c>
      <c r="G33">
        <v>12.8</v>
      </c>
      <c r="H33" s="9">
        <v>345</v>
      </c>
      <c r="I33" s="7">
        <v>250</v>
      </c>
      <c r="J33">
        <v>0.25</v>
      </c>
      <c r="K33">
        <v>400</v>
      </c>
      <c r="M33">
        <v>32</v>
      </c>
      <c r="N33" t="s">
        <v>12</v>
      </c>
      <c r="O33" t="s">
        <v>13</v>
      </c>
      <c r="P33">
        <v>5986712.324</v>
      </c>
      <c r="Q33">
        <v>5986683.6610000003</v>
      </c>
      <c r="R33" s="2">
        <f t="shared" si="0"/>
        <v>5.3928294571943298E-7</v>
      </c>
      <c r="T33" t="s">
        <v>44</v>
      </c>
    </row>
    <row r="34" spans="1:20" x14ac:dyDescent="0.25">
      <c r="A34" t="s">
        <v>14</v>
      </c>
      <c r="B34" t="s">
        <v>18</v>
      </c>
      <c r="C34" t="s">
        <v>42</v>
      </c>
      <c r="D34" s="6">
        <v>472</v>
      </c>
      <c r="E34" s="1">
        <v>1.25E-4</v>
      </c>
      <c r="F34" s="5">
        <v>0.3</v>
      </c>
      <c r="G34">
        <v>12.8</v>
      </c>
      <c r="H34" s="9">
        <v>345</v>
      </c>
      <c r="I34" s="7">
        <v>100</v>
      </c>
      <c r="J34">
        <v>0.1</v>
      </c>
      <c r="K34">
        <v>400</v>
      </c>
      <c r="M34">
        <v>32</v>
      </c>
      <c r="N34" t="s">
        <v>12</v>
      </c>
      <c r="O34" t="s">
        <v>13</v>
      </c>
      <c r="P34">
        <v>5986683.6610000003</v>
      </c>
      <c r="Q34">
        <v>5986671.2740000002</v>
      </c>
      <c r="R34" s="2">
        <f t="shared" si="0"/>
        <v>2.3305647869206253E-7</v>
      </c>
      <c r="T34" t="s">
        <v>44</v>
      </c>
    </row>
    <row r="35" spans="1:20" x14ac:dyDescent="0.25">
      <c r="A35" t="s">
        <v>14</v>
      </c>
      <c r="B35" t="s">
        <v>18</v>
      </c>
      <c r="C35" t="s">
        <v>42</v>
      </c>
      <c r="D35" s="6">
        <v>473</v>
      </c>
      <c r="E35" s="1">
        <v>1.25E-4</v>
      </c>
      <c r="F35" s="5">
        <v>0.3</v>
      </c>
      <c r="G35">
        <v>12.8</v>
      </c>
      <c r="H35" s="9">
        <v>345</v>
      </c>
      <c r="I35" s="7">
        <v>200</v>
      </c>
      <c r="J35">
        <v>0.2</v>
      </c>
      <c r="K35">
        <v>400</v>
      </c>
      <c r="M35">
        <v>32</v>
      </c>
      <c r="N35" t="s">
        <v>12</v>
      </c>
      <c r="O35" t="s">
        <v>13</v>
      </c>
      <c r="P35">
        <v>5986671.2740000002</v>
      </c>
      <c r="Q35">
        <v>5986647.7960000001</v>
      </c>
      <c r="R35" s="2">
        <f t="shared" si="0"/>
        <v>4.4172923280164288E-7</v>
      </c>
      <c r="T35" t="s">
        <v>44</v>
      </c>
    </row>
    <row r="36" spans="1:20" x14ac:dyDescent="0.25">
      <c r="A36" t="s">
        <v>14</v>
      </c>
      <c r="B36" t="s">
        <v>18</v>
      </c>
      <c r="C36" t="s">
        <v>42</v>
      </c>
      <c r="D36" s="6">
        <v>474</v>
      </c>
      <c r="E36" s="1">
        <v>1.25E-4</v>
      </c>
      <c r="F36" s="5">
        <v>0.3</v>
      </c>
      <c r="G36">
        <v>12.8</v>
      </c>
      <c r="H36" s="9">
        <v>345</v>
      </c>
      <c r="I36" s="7">
        <v>50</v>
      </c>
      <c r="J36">
        <v>0.05</v>
      </c>
      <c r="K36">
        <v>400</v>
      </c>
      <c r="M36">
        <v>32</v>
      </c>
      <c r="N36" t="s">
        <v>12</v>
      </c>
      <c r="O36" t="s">
        <v>13</v>
      </c>
      <c r="P36">
        <v>5986647.7960000001</v>
      </c>
      <c r="Q36">
        <v>5986643.9069999997</v>
      </c>
      <c r="R36" s="2">
        <f t="shared" si="0"/>
        <v>7.3169988352830432E-8</v>
      </c>
      <c r="T36" t="s">
        <v>44</v>
      </c>
    </row>
    <row r="37" spans="1:20" x14ac:dyDescent="0.25">
      <c r="A37" t="s">
        <v>14</v>
      </c>
      <c r="B37" t="s">
        <v>18</v>
      </c>
      <c r="C37" t="s">
        <v>42</v>
      </c>
      <c r="D37" s="6">
        <v>475</v>
      </c>
      <c r="E37" s="1">
        <v>1.25E-4</v>
      </c>
      <c r="F37" s="5">
        <v>0.3</v>
      </c>
      <c r="G37">
        <v>12.8</v>
      </c>
      <c r="H37" s="9">
        <v>345</v>
      </c>
      <c r="I37" s="7">
        <v>150</v>
      </c>
      <c r="J37">
        <v>0.15</v>
      </c>
      <c r="K37">
        <v>400</v>
      </c>
      <c r="M37">
        <v>32</v>
      </c>
      <c r="N37" t="s">
        <v>12</v>
      </c>
      <c r="O37" t="s">
        <v>13</v>
      </c>
      <c r="P37">
        <v>5986643.9069999997</v>
      </c>
      <c r="Q37">
        <v>5986626.767</v>
      </c>
      <c r="R37" s="2">
        <f t="shared" si="0"/>
        <v>3.2248228341569194E-7</v>
      </c>
      <c r="T37" t="s">
        <v>44</v>
      </c>
    </row>
    <row r="38" spans="1:20" x14ac:dyDescent="0.25">
      <c r="A38" t="s">
        <v>45</v>
      </c>
      <c r="B38" t="s">
        <v>18</v>
      </c>
      <c r="C38" t="s">
        <v>42</v>
      </c>
      <c r="D38" s="6">
        <v>476</v>
      </c>
      <c r="E38" s="1">
        <v>1.08E-4</v>
      </c>
      <c r="F38" s="5">
        <v>7.4999999999999997E-2</v>
      </c>
      <c r="G38">
        <v>3</v>
      </c>
      <c r="H38" s="9">
        <v>345</v>
      </c>
      <c r="I38" s="7">
        <v>0</v>
      </c>
      <c r="J38">
        <v>0</v>
      </c>
      <c r="K38">
        <v>400</v>
      </c>
      <c r="M38">
        <v>32</v>
      </c>
      <c r="N38" t="s">
        <v>12</v>
      </c>
      <c r="O38" t="s">
        <v>13</v>
      </c>
      <c r="P38">
        <v>5986621.4369999999</v>
      </c>
      <c r="Q38">
        <v>5986614.0920000002</v>
      </c>
      <c r="R38" s="2">
        <f t="shared" si="0"/>
        <v>1.3819325388859372E-7</v>
      </c>
    </row>
    <row r="39" spans="1:20" x14ac:dyDescent="0.25">
      <c r="A39" t="s">
        <v>45</v>
      </c>
      <c r="B39" t="s">
        <v>18</v>
      </c>
      <c r="C39" t="s">
        <v>42</v>
      </c>
      <c r="D39" s="6">
        <v>477</v>
      </c>
      <c r="E39" s="1">
        <v>1.08E-4</v>
      </c>
      <c r="F39" s="5">
        <v>7.4999999999999997E-2</v>
      </c>
      <c r="G39">
        <v>3</v>
      </c>
      <c r="H39" s="9">
        <v>345</v>
      </c>
      <c r="I39" s="7">
        <v>250</v>
      </c>
      <c r="J39">
        <v>0.25</v>
      </c>
      <c r="K39">
        <v>400</v>
      </c>
      <c r="M39">
        <v>32</v>
      </c>
      <c r="N39" t="s">
        <v>12</v>
      </c>
      <c r="O39" t="s">
        <v>13</v>
      </c>
      <c r="P39">
        <v>5986614.0920000002</v>
      </c>
      <c r="Q39">
        <v>5986578.8039999995</v>
      </c>
      <c r="R39" s="2">
        <f t="shared" si="0"/>
        <v>6.6392968597445551E-7</v>
      </c>
    </row>
    <row r="40" spans="1:20" x14ac:dyDescent="0.25">
      <c r="A40" t="s">
        <v>45</v>
      </c>
      <c r="B40" t="s">
        <v>18</v>
      </c>
      <c r="C40" t="s">
        <v>42</v>
      </c>
      <c r="D40" t="s">
        <v>46</v>
      </c>
      <c r="E40" s="1">
        <v>1.08E-4</v>
      </c>
      <c r="F40" s="5">
        <v>7.4999999999999997E-2</v>
      </c>
      <c r="G40">
        <v>3</v>
      </c>
      <c r="H40" s="9">
        <v>345</v>
      </c>
      <c r="I40" s="7">
        <v>100</v>
      </c>
      <c r="J40">
        <v>0.1</v>
      </c>
      <c r="K40">
        <v>400</v>
      </c>
      <c r="M40">
        <v>32</v>
      </c>
      <c r="N40" t="s">
        <v>12</v>
      </c>
      <c r="O40" t="s">
        <v>13</v>
      </c>
      <c r="P40">
        <v>5986578.8039999995</v>
      </c>
      <c r="Q40">
        <v>5986563.1040000003</v>
      </c>
      <c r="R40" s="2">
        <f t="shared" si="0"/>
        <v>2.9538925609598202E-7</v>
      </c>
    </row>
    <row r="41" spans="1:20" x14ac:dyDescent="0.25">
      <c r="A41" t="s">
        <v>45</v>
      </c>
      <c r="B41" t="s">
        <v>18</v>
      </c>
      <c r="C41" t="s">
        <v>42</v>
      </c>
      <c r="D41" s="6">
        <v>480</v>
      </c>
      <c r="E41" s="1">
        <v>1.08E-4</v>
      </c>
      <c r="F41" s="5">
        <v>7.4999999999999997E-2</v>
      </c>
      <c r="G41">
        <v>3</v>
      </c>
      <c r="H41" s="9">
        <v>345</v>
      </c>
      <c r="I41" s="7">
        <v>200</v>
      </c>
      <c r="J41">
        <v>0.2</v>
      </c>
      <c r="K41">
        <v>400</v>
      </c>
      <c r="M41">
        <v>32</v>
      </c>
      <c r="N41" t="s">
        <v>12</v>
      </c>
      <c r="O41" t="s">
        <v>13</v>
      </c>
      <c r="P41">
        <v>5986563.1040000003</v>
      </c>
      <c r="Q41">
        <v>5986534.1540000001</v>
      </c>
      <c r="R41" s="2">
        <f t="shared" si="0"/>
        <v>5.4468273658850452E-7</v>
      </c>
    </row>
    <row r="42" spans="1:20" x14ac:dyDescent="0.25">
      <c r="A42" t="s">
        <v>45</v>
      </c>
      <c r="B42" t="s">
        <v>18</v>
      </c>
      <c r="C42" t="s">
        <v>42</v>
      </c>
      <c r="D42" s="6">
        <v>481</v>
      </c>
      <c r="E42" s="1">
        <v>1.08E-4</v>
      </c>
      <c r="F42" s="5">
        <v>7.4999999999999997E-2</v>
      </c>
      <c r="G42">
        <v>3</v>
      </c>
      <c r="H42" s="9">
        <v>345</v>
      </c>
      <c r="I42" s="7">
        <v>50</v>
      </c>
      <c r="J42">
        <v>0.05</v>
      </c>
      <c r="K42">
        <v>400</v>
      </c>
      <c r="M42">
        <v>32</v>
      </c>
      <c r="N42" t="s">
        <v>12</v>
      </c>
      <c r="O42" t="s">
        <v>13</v>
      </c>
      <c r="P42">
        <v>5986534.1540000001</v>
      </c>
      <c r="Q42">
        <v>5986528.9689999996</v>
      </c>
      <c r="R42" s="2">
        <f t="shared" si="0"/>
        <v>9.7553712935312589E-8</v>
      </c>
    </row>
    <row r="43" spans="1:20" x14ac:dyDescent="0.25">
      <c r="A43" t="s">
        <v>45</v>
      </c>
      <c r="B43" t="s">
        <v>18</v>
      </c>
      <c r="C43" t="s">
        <v>42</v>
      </c>
      <c r="D43" s="6">
        <v>482</v>
      </c>
      <c r="E43" s="1">
        <v>1.08E-4</v>
      </c>
      <c r="F43" s="5">
        <v>7.4999999999999997E-2</v>
      </c>
      <c r="G43">
        <v>3</v>
      </c>
      <c r="H43" s="9">
        <v>345</v>
      </c>
      <c r="I43" s="7">
        <v>150</v>
      </c>
      <c r="J43">
        <v>0.15</v>
      </c>
      <c r="K43">
        <v>400</v>
      </c>
      <c r="M43">
        <v>32</v>
      </c>
      <c r="N43" t="s">
        <v>12</v>
      </c>
      <c r="O43" t="s">
        <v>13</v>
      </c>
      <c r="P43">
        <v>5986528.9689999996</v>
      </c>
      <c r="Q43">
        <v>5986508.8049999997</v>
      </c>
      <c r="R43" s="2">
        <f t="shared" si="0"/>
        <v>3.7937764077481694E-7</v>
      </c>
    </row>
    <row r="44" spans="1:20" x14ac:dyDescent="0.25">
      <c r="A44" t="s">
        <v>45</v>
      </c>
      <c r="B44" t="s">
        <v>18</v>
      </c>
      <c r="C44" t="s">
        <v>42</v>
      </c>
      <c r="D44" s="6">
        <v>483</v>
      </c>
      <c r="E44" s="1">
        <v>1.08E-4</v>
      </c>
      <c r="F44" s="5">
        <v>2.5000000000000001E-2</v>
      </c>
      <c r="G44">
        <v>1.35</v>
      </c>
      <c r="H44" s="9">
        <v>345</v>
      </c>
      <c r="I44" s="7">
        <v>0</v>
      </c>
      <c r="J44">
        <v>0</v>
      </c>
      <c r="K44">
        <v>400</v>
      </c>
      <c r="M44">
        <v>32</v>
      </c>
      <c r="N44" t="s">
        <v>12</v>
      </c>
      <c r="O44" t="s">
        <v>13</v>
      </c>
      <c r="P44">
        <v>5986508.8049999997</v>
      </c>
      <c r="Q44">
        <v>5986499.2989999996</v>
      </c>
      <c r="R44" s="2">
        <f t="shared" si="0"/>
        <v>1.7885160946478128E-7</v>
      </c>
    </row>
    <row r="45" spans="1:20" x14ac:dyDescent="0.25">
      <c r="A45" t="s">
        <v>45</v>
      </c>
      <c r="B45" t="s">
        <v>18</v>
      </c>
      <c r="C45" t="s">
        <v>42</v>
      </c>
      <c r="D45" s="6">
        <v>484</v>
      </c>
      <c r="E45" s="1">
        <v>1.08E-4</v>
      </c>
      <c r="F45" s="5">
        <v>2.5000000000000001E-2</v>
      </c>
      <c r="G45">
        <v>1.35</v>
      </c>
      <c r="H45" s="9">
        <v>345</v>
      </c>
      <c r="I45" s="7">
        <v>250</v>
      </c>
      <c r="J45">
        <v>0.25</v>
      </c>
      <c r="K45">
        <v>400</v>
      </c>
      <c r="M45">
        <v>32</v>
      </c>
      <c r="N45" t="s">
        <v>12</v>
      </c>
      <c r="O45" t="s">
        <v>13</v>
      </c>
      <c r="P45">
        <v>5986499.2989999996</v>
      </c>
      <c r="Q45">
        <v>5986464.1569999997</v>
      </c>
      <c r="R45" s="2">
        <f t="shared" si="0"/>
        <v>6.6118275402645986E-7</v>
      </c>
    </row>
    <row r="46" spans="1:20" x14ac:dyDescent="0.25">
      <c r="A46" t="s">
        <v>45</v>
      </c>
      <c r="B46" t="s">
        <v>18</v>
      </c>
      <c r="C46" t="s">
        <v>42</v>
      </c>
      <c r="D46" s="6">
        <v>485</v>
      </c>
      <c r="E46" s="1">
        <v>1.08E-4</v>
      </c>
      <c r="F46" s="5">
        <v>2.5000000000000001E-2</v>
      </c>
      <c r="G46">
        <v>1.35</v>
      </c>
      <c r="H46" s="9">
        <v>345</v>
      </c>
      <c r="I46" s="7">
        <v>100</v>
      </c>
      <c r="J46">
        <v>0.1</v>
      </c>
      <c r="K46">
        <v>400</v>
      </c>
      <c r="M46">
        <v>32</v>
      </c>
      <c r="N46" t="s">
        <v>12</v>
      </c>
      <c r="O46" t="s">
        <v>13</v>
      </c>
      <c r="P46">
        <v>5986464.1569999997</v>
      </c>
      <c r="Q46">
        <v>5986449.034</v>
      </c>
      <c r="R46" s="2">
        <f t="shared" si="0"/>
        <v>2.8453323057673212E-7</v>
      </c>
    </row>
    <row r="47" spans="1:20" x14ac:dyDescent="0.25">
      <c r="A47" t="s">
        <v>45</v>
      </c>
      <c r="B47" t="s">
        <v>18</v>
      </c>
      <c r="C47" t="s">
        <v>42</v>
      </c>
      <c r="D47" s="6" t="s">
        <v>47</v>
      </c>
      <c r="E47" s="1">
        <v>1.08E-4</v>
      </c>
      <c r="F47" s="5">
        <v>2.5000000000000001E-2</v>
      </c>
      <c r="G47">
        <v>1.35</v>
      </c>
      <c r="H47" s="9">
        <v>345</v>
      </c>
      <c r="I47" s="7">
        <v>200</v>
      </c>
      <c r="J47">
        <v>0.2</v>
      </c>
      <c r="K47">
        <v>400</v>
      </c>
      <c r="M47">
        <v>32</v>
      </c>
      <c r="N47" t="s">
        <v>12</v>
      </c>
      <c r="O47" t="s">
        <v>13</v>
      </c>
      <c r="P47">
        <v>5986375.2939999998</v>
      </c>
      <c r="Q47">
        <v>5986348.3619999997</v>
      </c>
      <c r="R47" s="2">
        <f t="shared" si="0"/>
        <v>5.0671486914416077E-7</v>
      </c>
    </row>
    <row r="48" spans="1:20" x14ac:dyDescent="0.25">
      <c r="A48" t="s">
        <v>45</v>
      </c>
      <c r="B48" t="s">
        <v>18</v>
      </c>
      <c r="C48" t="s">
        <v>42</v>
      </c>
      <c r="D48" t="s">
        <v>48</v>
      </c>
      <c r="E48" s="1">
        <v>1.08E-4</v>
      </c>
      <c r="F48" s="5">
        <v>2.5000000000000001E-2</v>
      </c>
      <c r="G48">
        <v>1.35</v>
      </c>
      <c r="H48" s="9">
        <v>345</v>
      </c>
      <c r="I48" s="7">
        <v>50</v>
      </c>
      <c r="J48">
        <v>0.05</v>
      </c>
      <c r="K48">
        <v>400</v>
      </c>
      <c r="M48">
        <v>32</v>
      </c>
      <c r="N48" t="s">
        <v>12</v>
      </c>
      <c r="O48" t="s">
        <v>13</v>
      </c>
      <c r="P48">
        <v>5986321.142</v>
      </c>
      <c r="Q48">
        <v>5986315.8140000002</v>
      </c>
      <c r="R48" s="2">
        <f t="shared" si="0"/>
        <v>1.0024420104963389E-7</v>
      </c>
    </row>
    <row r="49" spans="1:20" x14ac:dyDescent="0.25">
      <c r="A49" t="s">
        <v>45</v>
      </c>
      <c r="B49" t="s">
        <v>18</v>
      </c>
      <c r="C49" t="s">
        <v>42</v>
      </c>
      <c r="D49" s="6">
        <v>490</v>
      </c>
      <c r="E49" s="1">
        <v>1.08E-4</v>
      </c>
      <c r="F49" s="5">
        <v>2.5000000000000001E-2</v>
      </c>
      <c r="G49">
        <v>1.35</v>
      </c>
      <c r="H49" s="9">
        <v>345</v>
      </c>
      <c r="I49" s="7">
        <v>150</v>
      </c>
      <c r="J49">
        <v>0.15</v>
      </c>
      <c r="K49">
        <v>400</v>
      </c>
      <c r="M49">
        <v>32</v>
      </c>
      <c r="N49" t="s">
        <v>12</v>
      </c>
      <c r="O49" t="s">
        <v>13</v>
      </c>
      <c r="P49">
        <v>5986315.8140000002</v>
      </c>
      <c r="Q49">
        <v>5986295.2189999996</v>
      </c>
      <c r="R49" s="2">
        <f t="shared" si="0"/>
        <v>3.8748673438111617E-7</v>
      </c>
    </row>
    <row r="50" spans="1:20" x14ac:dyDescent="0.25">
      <c r="D50" s="6"/>
      <c r="E50" s="1"/>
      <c r="F50" s="11"/>
      <c r="H50" s="9"/>
    </row>
    <row r="51" spans="1:20" x14ac:dyDescent="0.25">
      <c r="A51" t="s">
        <v>49</v>
      </c>
      <c r="B51" t="s">
        <v>50</v>
      </c>
      <c r="C51" t="s">
        <v>42</v>
      </c>
      <c r="D51" s="6">
        <v>0</v>
      </c>
      <c r="E51" s="1">
        <v>1.8499999999999999E-5</v>
      </c>
      <c r="F51" s="1">
        <v>1.8499999999999999E-5</v>
      </c>
      <c r="G51">
        <v>0</v>
      </c>
      <c r="H51" s="9">
        <v>1000</v>
      </c>
      <c r="I51" s="7">
        <v>0</v>
      </c>
      <c r="J51">
        <v>0</v>
      </c>
      <c r="K51">
        <v>400</v>
      </c>
      <c r="M51">
        <v>32</v>
      </c>
      <c r="N51" t="s">
        <v>12</v>
      </c>
      <c r="O51" t="s">
        <v>13</v>
      </c>
      <c r="P51">
        <v>5986281.2489999998</v>
      </c>
      <c r="Q51">
        <v>5986280.5290000001</v>
      </c>
      <c r="R51" s="2">
        <f t="shared" si="0"/>
        <v>1.354651365109371E-8</v>
      </c>
    </row>
    <row r="52" spans="1:20" x14ac:dyDescent="0.25">
      <c r="A52" t="s">
        <v>49</v>
      </c>
      <c r="B52" t="s">
        <v>50</v>
      </c>
      <c r="C52" t="s">
        <v>42</v>
      </c>
      <c r="D52" s="6">
        <v>1</v>
      </c>
      <c r="E52" s="1">
        <v>1.8499999999999999E-5</v>
      </c>
      <c r="F52" s="1">
        <v>1.8499999999999999E-5</v>
      </c>
      <c r="G52">
        <v>0</v>
      </c>
      <c r="H52" s="9">
        <v>1000</v>
      </c>
      <c r="I52" s="7">
        <v>250</v>
      </c>
      <c r="J52">
        <v>0.25</v>
      </c>
      <c r="K52">
        <v>400</v>
      </c>
      <c r="M52">
        <v>32</v>
      </c>
      <c r="N52" t="s">
        <v>12</v>
      </c>
      <c r="O52" t="s">
        <v>13</v>
      </c>
      <c r="P52">
        <v>5986280.5290000001</v>
      </c>
      <c r="Q52">
        <v>5986275.3449999997</v>
      </c>
      <c r="R52" s="2">
        <f>0.0000000188146023 * ( P52 - Q52 )</f>
        <v>9.7534898329928631E-8</v>
      </c>
    </row>
    <row r="53" spans="1:20" x14ac:dyDescent="0.25">
      <c r="A53" t="s">
        <v>49</v>
      </c>
      <c r="B53" t="s">
        <v>50</v>
      </c>
      <c r="C53" t="s">
        <v>42</v>
      </c>
      <c r="D53" s="6">
        <v>2</v>
      </c>
      <c r="E53" s="1">
        <v>1.8499999999999999E-5</v>
      </c>
      <c r="F53" s="1">
        <v>1.8499999999999999E-5</v>
      </c>
      <c r="G53">
        <v>0</v>
      </c>
      <c r="H53" s="9">
        <v>1000</v>
      </c>
      <c r="I53" s="7">
        <v>100</v>
      </c>
      <c r="J53">
        <v>0.1</v>
      </c>
      <c r="K53">
        <v>400</v>
      </c>
      <c r="M53">
        <v>32</v>
      </c>
      <c r="N53" t="s">
        <v>12</v>
      </c>
      <c r="O53" t="s">
        <v>13</v>
      </c>
      <c r="P53">
        <v>5986275.3449999997</v>
      </c>
      <c r="Q53">
        <v>5986272.4639999997</v>
      </c>
      <c r="R53" s="2">
        <f t="shared" si="0"/>
        <v>5.4204869227281263E-8</v>
      </c>
    </row>
    <row r="54" spans="1:20" x14ac:dyDescent="0.25">
      <c r="A54" t="s">
        <v>49</v>
      </c>
      <c r="B54" t="s">
        <v>50</v>
      </c>
      <c r="C54" t="s">
        <v>42</v>
      </c>
      <c r="D54" s="6">
        <v>3</v>
      </c>
      <c r="E54" s="1">
        <v>1.8499999999999999E-5</v>
      </c>
      <c r="F54" s="1">
        <v>1.8499999999999999E-5</v>
      </c>
      <c r="G54">
        <v>0</v>
      </c>
      <c r="H54" s="9">
        <v>1000</v>
      </c>
      <c r="I54" s="7">
        <v>200</v>
      </c>
      <c r="J54">
        <v>0.2</v>
      </c>
      <c r="K54">
        <v>400</v>
      </c>
      <c r="M54">
        <v>32</v>
      </c>
      <c r="N54" t="s">
        <v>12</v>
      </c>
      <c r="O54" t="s">
        <v>13</v>
      </c>
      <c r="P54">
        <v>5986272.4639999997</v>
      </c>
      <c r="Q54">
        <v>5986266.7039999999</v>
      </c>
      <c r="R54" s="2">
        <f t="shared" si="0"/>
        <v>1.0837210924379461E-7</v>
      </c>
    </row>
    <row r="55" spans="1:20" x14ac:dyDescent="0.25">
      <c r="A55" t="s">
        <v>49</v>
      </c>
      <c r="B55" t="s">
        <v>50</v>
      </c>
      <c r="C55" t="s">
        <v>42</v>
      </c>
      <c r="D55" s="6">
        <v>4</v>
      </c>
      <c r="E55" s="1">
        <v>1.8499999999999999E-5</v>
      </c>
      <c r="F55" s="1">
        <v>1.8499999999999999E-5</v>
      </c>
      <c r="G55">
        <v>0</v>
      </c>
      <c r="H55" s="9">
        <v>1000</v>
      </c>
      <c r="I55" s="7">
        <v>50</v>
      </c>
      <c r="J55">
        <v>0.05</v>
      </c>
      <c r="K55">
        <v>400</v>
      </c>
      <c r="M55">
        <v>32</v>
      </c>
      <c r="N55" t="s">
        <v>12</v>
      </c>
      <c r="O55" t="s">
        <v>13</v>
      </c>
      <c r="P55">
        <v>5986266.7039999999</v>
      </c>
      <c r="Q55">
        <v>5986265.983</v>
      </c>
      <c r="R55" s="2">
        <f t="shared" si="0"/>
        <v>1.3565328256477664E-8</v>
      </c>
    </row>
    <row r="56" spans="1:20" x14ac:dyDescent="0.25">
      <c r="A56" t="s">
        <v>49</v>
      </c>
      <c r="B56" t="s">
        <v>50</v>
      </c>
      <c r="C56" t="s">
        <v>42</v>
      </c>
      <c r="D56" s="6">
        <v>5</v>
      </c>
      <c r="E56" s="1">
        <v>1.8499999999999999E-5</v>
      </c>
      <c r="F56" s="1">
        <v>1.8499999999999999E-5</v>
      </c>
      <c r="G56">
        <v>0</v>
      </c>
      <c r="H56" s="9">
        <v>1000</v>
      </c>
      <c r="I56" s="7">
        <v>150</v>
      </c>
      <c r="J56">
        <v>0.15</v>
      </c>
      <c r="K56">
        <v>400</v>
      </c>
      <c r="M56">
        <v>32</v>
      </c>
      <c r="N56" t="s">
        <v>12</v>
      </c>
      <c r="O56" t="s">
        <v>13</v>
      </c>
      <c r="P56">
        <v>5986265.983</v>
      </c>
      <c r="Q56">
        <v>5986261.375</v>
      </c>
      <c r="R56" s="2">
        <f t="shared" si="0"/>
        <v>8.6697687398540188E-8</v>
      </c>
    </row>
    <row r="57" spans="1:20" x14ac:dyDescent="0.25">
      <c r="A57" t="s">
        <v>49</v>
      </c>
      <c r="B57" t="s">
        <v>50</v>
      </c>
      <c r="C57" t="s">
        <v>42</v>
      </c>
      <c r="D57" s="6">
        <v>6</v>
      </c>
      <c r="E57" s="1">
        <v>1.25E-4</v>
      </c>
      <c r="F57" s="3">
        <v>0.1</v>
      </c>
      <c r="G57">
        <v>3.95</v>
      </c>
      <c r="H57" s="9">
        <v>345</v>
      </c>
      <c r="I57" s="7">
        <v>0</v>
      </c>
      <c r="J57">
        <v>0</v>
      </c>
      <c r="K57">
        <v>400</v>
      </c>
      <c r="M57">
        <v>64</v>
      </c>
      <c r="N57" t="s">
        <v>12</v>
      </c>
      <c r="O57" t="s">
        <v>13</v>
      </c>
      <c r="P57">
        <v>5986259.5029999996</v>
      </c>
      <c r="Q57">
        <v>5986257.3420000002</v>
      </c>
      <c r="R57" s="2">
        <f t="shared" si="0"/>
        <v>4.0658355558665083E-8</v>
      </c>
      <c r="T57" t="s">
        <v>51</v>
      </c>
    </row>
    <row r="58" spans="1:20" x14ac:dyDescent="0.25">
      <c r="A58" t="s">
        <v>49</v>
      </c>
      <c r="B58" t="s">
        <v>50</v>
      </c>
      <c r="C58" t="s">
        <v>42</v>
      </c>
      <c r="D58" s="6">
        <v>7</v>
      </c>
      <c r="E58" s="1">
        <v>1.25E-4</v>
      </c>
      <c r="F58" s="3">
        <v>0.1</v>
      </c>
      <c r="G58">
        <v>3.95</v>
      </c>
      <c r="H58" s="9">
        <v>345</v>
      </c>
      <c r="I58" s="7">
        <v>250</v>
      </c>
      <c r="J58">
        <v>0.25</v>
      </c>
      <c r="K58">
        <v>400</v>
      </c>
      <c r="M58">
        <v>64</v>
      </c>
      <c r="N58" t="s">
        <v>12</v>
      </c>
      <c r="O58" t="s">
        <v>13</v>
      </c>
      <c r="P58">
        <v>5986257.3420000002</v>
      </c>
      <c r="Q58">
        <v>5986243.6610000003</v>
      </c>
      <c r="R58" s="2">
        <f t="shared" si="0"/>
        <v>2.574025740637768E-7</v>
      </c>
      <c r="T58" t="s">
        <v>51</v>
      </c>
    </row>
    <row r="59" spans="1:20" x14ac:dyDescent="0.25">
      <c r="A59" t="s">
        <v>49</v>
      </c>
      <c r="B59" t="s">
        <v>50</v>
      </c>
      <c r="C59" t="s">
        <v>42</v>
      </c>
      <c r="D59" s="6">
        <v>8</v>
      </c>
      <c r="E59" s="1">
        <v>1.25E-4</v>
      </c>
      <c r="F59" s="3">
        <v>0.1</v>
      </c>
      <c r="G59">
        <v>3.95</v>
      </c>
      <c r="H59" s="9">
        <v>345</v>
      </c>
      <c r="I59" s="7">
        <v>100</v>
      </c>
      <c r="J59">
        <v>0.1</v>
      </c>
      <c r="K59">
        <v>400</v>
      </c>
      <c r="M59">
        <v>64</v>
      </c>
      <c r="N59" t="s">
        <v>12</v>
      </c>
      <c r="O59" t="s">
        <v>13</v>
      </c>
      <c r="P59">
        <v>5986243.6610000003</v>
      </c>
      <c r="Q59">
        <v>5986238.1880000001</v>
      </c>
      <c r="R59" s="2">
        <f t="shared" si="0"/>
        <v>1.0297231839224557E-7</v>
      </c>
      <c r="T59" t="s">
        <v>51</v>
      </c>
    </row>
    <row r="60" spans="1:20" x14ac:dyDescent="0.25">
      <c r="A60" t="s">
        <v>49</v>
      </c>
      <c r="B60" t="s">
        <v>50</v>
      </c>
      <c r="C60" t="s">
        <v>42</v>
      </c>
      <c r="D60" s="6">
        <v>9</v>
      </c>
      <c r="E60" s="1">
        <v>1.25E-4</v>
      </c>
      <c r="F60" s="3">
        <v>0.1</v>
      </c>
      <c r="G60">
        <v>3.95</v>
      </c>
      <c r="H60" s="9">
        <v>345</v>
      </c>
      <c r="I60" s="7">
        <v>200</v>
      </c>
      <c r="J60">
        <v>0.2</v>
      </c>
      <c r="K60">
        <v>400</v>
      </c>
      <c r="M60">
        <v>64</v>
      </c>
      <c r="N60" t="s">
        <v>12</v>
      </c>
      <c r="O60" t="s">
        <v>13</v>
      </c>
      <c r="P60">
        <v>5986238.1880000001</v>
      </c>
      <c r="Q60">
        <v>5986226.3789999997</v>
      </c>
      <c r="R60" s="2">
        <f t="shared" si="0"/>
        <v>2.2218163856742862E-7</v>
      </c>
      <c r="T60" t="s">
        <v>51</v>
      </c>
    </row>
    <row r="61" spans="1:20" x14ac:dyDescent="0.25">
      <c r="A61" t="s">
        <v>49</v>
      </c>
      <c r="B61" t="s">
        <v>50</v>
      </c>
      <c r="C61" t="s">
        <v>42</v>
      </c>
      <c r="D61" s="6">
        <v>10</v>
      </c>
      <c r="E61" s="1">
        <v>1.25E-4</v>
      </c>
      <c r="F61" s="3">
        <v>0.1</v>
      </c>
      <c r="G61">
        <v>3.95</v>
      </c>
      <c r="H61" s="9">
        <v>345</v>
      </c>
      <c r="I61" s="7">
        <v>50</v>
      </c>
      <c r="J61">
        <v>0.05</v>
      </c>
      <c r="K61">
        <v>400</v>
      </c>
      <c r="M61">
        <v>64</v>
      </c>
      <c r="N61" t="s">
        <v>12</v>
      </c>
      <c r="O61" t="s">
        <v>13</v>
      </c>
      <c r="P61">
        <v>5986226.3789999997</v>
      </c>
      <c r="Q61">
        <v>5986224.7949999999</v>
      </c>
      <c r="R61" s="2">
        <f t="shared" si="0"/>
        <v>2.9802330039415147E-8</v>
      </c>
      <c r="T61" t="s">
        <v>51</v>
      </c>
    </row>
    <row r="62" spans="1:20" x14ac:dyDescent="0.25">
      <c r="A62" t="s">
        <v>49</v>
      </c>
      <c r="B62" t="s">
        <v>50</v>
      </c>
      <c r="C62" t="s">
        <v>42</v>
      </c>
      <c r="D62" s="6">
        <v>11</v>
      </c>
      <c r="E62" s="1">
        <v>1.25E-4</v>
      </c>
      <c r="F62" s="3">
        <v>0.1</v>
      </c>
      <c r="G62">
        <v>3.95</v>
      </c>
      <c r="H62" s="9">
        <v>345</v>
      </c>
      <c r="I62" s="7">
        <v>150</v>
      </c>
      <c r="J62">
        <v>0.15</v>
      </c>
      <c r="K62">
        <v>400</v>
      </c>
      <c r="M62">
        <v>64</v>
      </c>
      <c r="N62" t="s">
        <v>12</v>
      </c>
      <c r="O62" t="s">
        <v>13</v>
      </c>
      <c r="P62">
        <v>5986224.7949999999</v>
      </c>
      <c r="Q62">
        <v>5986215.5779999997</v>
      </c>
      <c r="R62" s="2">
        <f t="shared" si="0"/>
        <v>1.7341418940246431E-7</v>
      </c>
      <c r="T62" t="s">
        <v>51</v>
      </c>
    </row>
    <row r="63" spans="1:20" x14ac:dyDescent="0.25">
      <c r="A63" t="s">
        <v>49</v>
      </c>
      <c r="B63" t="s">
        <v>50</v>
      </c>
      <c r="C63" t="s">
        <v>42</v>
      </c>
      <c r="D63" s="6">
        <v>12</v>
      </c>
      <c r="E63" s="1">
        <v>1.25E-4</v>
      </c>
      <c r="F63" s="4">
        <v>0.05</v>
      </c>
      <c r="G63">
        <v>2.11</v>
      </c>
      <c r="H63" s="9">
        <v>345</v>
      </c>
      <c r="I63" s="7">
        <v>0</v>
      </c>
      <c r="J63">
        <v>0</v>
      </c>
      <c r="K63">
        <v>400</v>
      </c>
      <c r="M63">
        <v>64</v>
      </c>
      <c r="N63" t="s">
        <v>12</v>
      </c>
      <c r="O63" t="s">
        <v>13</v>
      </c>
      <c r="P63">
        <v>5986215.5779999997</v>
      </c>
      <c r="Q63">
        <v>5986212.4100000001</v>
      </c>
      <c r="R63" s="2">
        <f t="shared" si="0"/>
        <v>5.9604660078830293E-8</v>
      </c>
      <c r="T63" t="s">
        <v>51</v>
      </c>
    </row>
    <row r="64" spans="1:20" x14ac:dyDescent="0.25">
      <c r="A64" t="s">
        <v>49</v>
      </c>
      <c r="B64" t="s">
        <v>50</v>
      </c>
      <c r="C64" t="s">
        <v>42</v>
      </c>
      <c r="D64" s="6">
        <v>13</v>
      </c>
      <c r="E64" s="1">
        <v>1.25E-4</v>
      </c>
      <c r="F64" s="4">
        <v>0.05</v>
      </c>
      <c r="G64">
        <v>2.11</v>
      </c>
      <c r="H64" s="9">
        <v>345</v>
      </c>
      <c r="I64" s="7">
        <v>250</v>
      </c>
      <c r="J64">
        <v>0.25</v>
      </c>
      <c r="K64">
        <v>400</v>
      </c>
      <c r="M64">
        <v>64</v>
      </c>
      <c r="N64" t="s">
        <v>12</v>
      </c>
      <c r="O64" t="s">
        <v>13</v>
      </c>
      <c r="P64">
        <v>5986212.4100000001</v>
      </c>
      <c r="Q64">
        <v>5986197.7199999997</v>
      </c>
      <c r="R64" s="2">
        <f t="shared" si="0"/>
        <v>2.7638650779470991E-7</v>
      </c>
      <c r="T64" t="s">
        <v>52</v>
      </c>
    </row>
    <row r="65" spans="1:20" x14ac:dyDescent="0.25">
      <c r="A65" t="s">
        <v>49</v>
      </c>
      <c r="B65" t="s">
        <v>50</v>
      </c>
      <c r="C65" t="s">
        <v>42</v>
      </c>
      <c r="D65" s="6">
        <v>14</v>
      </c>
      <c r="E65" s="1">
        <v>1.25E-4</v>
      </c>
      <c r="F65" s="4">
        <v>0.05</v>
      </c>
      <c r="G65">
        <v>2.11</v>
      </c>
      <c r="H65" s="9">
        <v>345</v>
      </c>
      <c r="I65" s="7">
        <v>100</v>
      </c>
      <c r="J65">
        <v>0.1</v>
      </c>
      <c r="K65">
        <v>400</v>
      </c>
      <c r="M65">
        <v>64</v>
      </c>
      <c r="N65" t="s">
        <v>12</v>
      </c>
      <c r="O65" t="s">
        <v>13</v>
      </c>
      <c r="P65">
        <v>5986197.7199999997</v>
      </c>
      <c r="Q65">
        <v>5986191.3839999996</v>
      </c>
      <c r="R65" s="2">
        <f t="shared" si="0"/>
        <v>1.1920932017518305E-7</v>
      </c>
    </row>
    <row r="66" spans="1:20" x14ac:dyDescent="0.25">
      <c r="A66" t="s">
        <v>49</v>
      </c>
      <c r="B66" t="s">
        <v>50</v>
      </c>
      <c r="C66" t="s">
        <v>42</v>
      </c>
      <c r="D66" s="6">
        <v>15</v>
      </c>
      <c r="E66" s="1">
        <v>1.25E-4</v>
      </c>
      <c r="F66" s="4">
        <v>0.05</v>
      </c>
      <c r="G66">
        <v>2.11</v>
      </c>
      <c r="H66" s="9">
        <v>345</v>
      </c>
      <c r="I66" s="7">
        <v>200</v>
      </c>
      <c r="J66">
        <v>0.2</v>
      </c>
      <c r="K66">
        <v>400</v>
      </c>
      <c r="M66">
        <v>64</v>
      </c>
      <c r="N66" t="s">
        <v>12</v>
      </c>
      <c r="O66" t="s">
        <v>13</v>
      </c>
      <c r="P66">
        <v>5986191.3839999996</v>
      </c>
      <c r="Q66">
        <v>5986178.7110000001</v>
      </c>
      <c r="R66" s="2">
        <f t="shared" si="0"/>
        <v>2.3843745493822762E-7</v>
      </c>
    </row>
    <row r="67" spans="1:20" x14ac:dyDescent="0.25">
      <c r="A67" t="s">
        <v>49</v>
      </c>
      <c r="B67" t="s">
        <v>50</v>
      </c>
      <c r="C67" t="s">
        <v>42</v>
      </c>
      <c r="D67" s="6">
        <v>16</v>
      </c>
      <c r="E67" s="1">
        <v>1.25E-4</v>
      </c>
      <c r="F67" s="4">
        <v>0.05</v>
      </c>
      <c r="G67">
        <v>2.11</v>
      </c>
      <c r="H67" s="9">
        <v>345</v>
      </c>
      <c r="I67" s="7">
        <v>50</v>
      </c>
      <c r="J67">
        <v>0.05</v>
      </c>
      <c r="K67">
        <v>400</v>
      </c>
      <c r="M67">
        <v>64</v>
      </c>
      <c r="N67" t="s">
        <v>12</v>
      </c>
      <c r="O67" t="s">
        <v>13</v>
      </c>
      <c r="P67">
        <v>5986178.7110000001</v>
      </c>
      <c r="Q67">
        <v>5986176.6940000001</v>
      </c>
      <c r="R67" s="2">
        <f t="shared" si="0"/>
        <v>3.7949052838959825E-8</v>
      </c>
    </row>
    <row r="68" spans="1:20" x14ac:dyDescent="0.25">
      <c r="A68" t="s">
        <v>49</v>
      </c>
      <c r="B68" t="s">
        <v>50</v>
      </c>
      <c r="C68" t="s">
        <v>42</v>
      </c>
      <c r="D68" s="6">
        <v>17</v>
      </c>
      <c r="E68" s="1">
        <v>1.25E-4</v>
      </c>
      <c r="F68" s="4">
        <v>0.05</v>
      </c>
      <c r="G68">
        <v>2.11</v>
      </c>
      <c r="H68" s="9">
        <v>345</v>
      </c>
      <c r="I68" s="7">
        <v>150</v>
      </c>
      <c r="J68">
        <v>0.15</v>
      </c>
      <c r="K68">
        <v>400</v>
      </c>
      <c r="M68">
        <v>64</v>
      </c>
      <c r="N68" t="s">
        <v>12</v>
      </c>
      <c r="O68" t="s">
        <v>13</v>
      </c>
      <c r="P68">
        <v>5986176.6940000001</v>
      </c>
      <c r="Q68">
        <v>5986167.3339999998</v>
      </c>
      <c r="R68" s="2">
        <f t="shared" ref="R68:R132" si="1">0.0000000188146023 * ( P68 - Q68 )</f>
        <v>1.7610467753430809E-7</v>
      </c>
      <c r="T68" t="s">
        <v>53</v>
      </c>
    </row>
    <row r="69" spans="1:20" x14ac:dyDescent="0.25">
      <c r="A69" t="s">
        <v>49</v>
      </c>
      <c r="B69" t="s">
        <v>50</v>
      </c>
      <c r="C69" t="s">
        <v>42</v>
      </c>
      <c r="D69" s="6">
        <v>18</v>
      </c>
      <c r="E69" s="1">
        <v>1.25E-4</v>
      </c>
      <c r="F69" s="5">
        <v>0.2</v>
      </c>
      <c r="G69">
        <v>8.1</v>
      </c>
      <c r="H69" s="9">
        <v>345</v>
      </c>
      <c r="I69" s="7">
        <v>0</v>
      </c>
      <c r="J69">
        <v>0</v>
      </c>
      <c r="K69">
        <v>400</v>
      </c>
      <c r="M69">
        <v>64</v>
      </c>
      <c r="N69" t="s">
        <v>12</v>
      </c>
      <c r="O69" t="s">
        <v>13</v>
      </c>
      <c r="P69">
        <v>5986166.4699999997</v>
      </c>
      <c r="Q69">
        <v>5986164.3090000004</v>
      </c>
      <c r="R69" s="2">
        <f t="shared" si="1"/>
        <v>4.0658355558665083E-8</v>
      </c>
    </row>
    <row r="70" spans="1:20" x14ac:dyDescent="0.25">
      <c r="A70" t="s">
        <v>49</v>
      </c>
      <c r="B70" t="s">
        <v>50</v>
      </c>
      <c r="C70" t="s">
        <v>42</v>
      </c>
      <c r="D70" s="6">
        <v>19</v>
      </c>
      <c r="E70" s="1">
        <v>1.25E-4</v>
      </c>
      <c r="F70" s="5">
        <v>0.2</v>
      </c>
      <c r="G70">
        <v>8.1</v>
      </c>
      <c r="H70" s="9">
        <v>345</v>
      </c>
      <c r="I70" s="7">
        <v>250</v>
      </c>
      <c r="J70">
        <v>0.25</v>
      </c>
      <c r="K70">
        <v>400</v>
      </c>
      <c r="M70">
        <v>64</v>
      </c>
      <c r="N70" t="s">
        <v>12</v>
      </c>
      <c r="O70" t="s">
        <v>13</v>
      </c>
      <c r="P70">
        <v>5986164.3090000004</v>
      </c>
      <c r="Q70">
        <v>5986150.1960000005</v>
      </c>
      <c r="R70" s="2">
        <f t="shared" si="1"/>
        <v>2.6553048225793749E-7</v>
      </c>
    </row>
    <row r="71" spans="1:20" x14ac:dyDescent="0.25">
      <c r="A71" t="s">
        <v>49</v>
      </c>
      <c r="B71" t="s">
        <v>50</v>
      </c>
      <c r="C71" t="s">
        <v>42</v>
      </c>
      <c r="D71" s="6">
        <v>20</v>
      </c>
      <c r="E71" s="1">
        <v>1.25E-4</v>
      </c>
      <c r="F71" s="5">
        <v>0.2</v>
      </c>
      <c r="G71">
        <v>8.1</v>
      </c>
      <c r="H71" s="9">
        <v>345</v>
      </c>
      <c r="I71" s="7">
        <v>100</v>
      </c>
      <c r="J71">
        <v>0.1</v>
      </c>
      <c r="K71">
        <v>400</v>
      </c>
      <c r="M71">
        <v>64</v>
      </c>
      <c r="N71" t="s">
        <v>12</v>
      </c>
      <c r="O71" t="s">
        <v>13</v>
      </c>
      <c r="P71">
        <v>5986150.1960000005</v>
      </c>
      <c r="Q71">
        <v>5986144.4359999998</v>
      </c>
      <c r="R71" s="2">
        <f t="shared" si="1"/>
        <v>1.0837210926131707E-7</v>
      </c>
    </row>
    <row r="72" spans="1:20" x14ac:dyDescent="0.25">
      <c r="A72" t="s">
        <v>49</v>
      </c>
      <c r="B72" t="s">
        <v>50</v>
      </c>
      <c r="C72" t="s">
        <v>42</v>
      </c>
      <c r="D72" s="6">
        <v>21</v>
      </c>
      <c r="E72" s="1">
        <v>1.25E-4</v>
      </c>
      <c r="F72" s="5">
        <v>0.2</v>
      </c>
      <c r="G72">
        <v>8.1</v>
      </c>
      <c r="H72" s="9">
        <v>345</v>
      </c>
      <c r="I72" s="7">
        <v>200</v>
      </c>
      <c r="J72">
        <v>0.2</v>
      </c>
      <c r="K72">
        <v>400</v>
      </c>
      <c r="M72">
        <v>64</v>
      </c>
      <c r="N72" t="s">
        <v>12</v>
      </c>
      <c r="O72" t="s">
        <v>13</v>
      </c>
      <c r="P72">
        <v>5986144.4359999998</v>
      </c>
      <c r="Q72">
        <v>5986132.915</v>
      </c>
      <c r="R72" s="2">
        <f t="shared" si="1"/>
        <v>2.1676303309297318E-7</v>
      </c>
    </row>
    <row r="73" spans="1:20" x14ac:dyDescent="0.25">
      <c r="A73" t="s">
        <v>49</v>
      </c>
      <c r="B73" t="s">
        <v>50</v>
      </c>
      <c r="C73" t="s">
        <v>42</v>
      </c>
      <c r="D73" s="6">
        <v>22</v>
      </c>
      <c r="E73" s="1">
        <v>1.25E-4</v>
      </c>
      <c r="F73" s="5">
        <v>0.2</v>
      </c>
      <c r="G73">
        <v>8.1</v>
      </c>
      <c r="H73" s="9">
        <v>345</v>
      </c>
      <c r="I73" s="7">
        <v>50</v>
      </c>
      <c r="J73">
        <v>0.05</v>
      </c>
      <c r="K73">
        <v>400</v>
      </c>
      <c r="M73">
        <v>64</v>
      </c>
      <c r="N73" t="s">
        <v>12</v>
      </c>
      <c r="O73" t="s">
        <v>13</v>
      </c>
      <c r="P73">
        <v>5986132.915</v>
      </c>
      <c r="Q73">
        <v>5986131.3310000002</v>
      </c>
      <c r="R73" s="2">
        <f t="shared" si="1"/>
        <v>2.9802330039415147E-8</v>
      </c>
    </row>
    <row r="74" spans="1:20" x14ac:dyDescent="0.25">
      <c r="A74" t="s">
        <v>49</v>
      </c>
      <c r="B74" t="s">
        <v>50</v>
      </c>
      <c r="C74" t="s">
        <v>42</v>
      </c>
      <c r="D74" s="6">
        <v>23</v>
      </c>
      <c r="E74" s="1">
        <v>1.25E-4</v>
      </c>
      <c r="F74" s="5">
        <v>0.2</v>
      </c>
      <c r="G74">
        <v>8.1</v>
      </c>
      <c r="H74" s="9">
        <v>345</v>
      </c>
      <c r="I74" s="7">
        <v>150</v>
      </c>
      <c r="J74">
        <v>0.15</v>
      </c>
      <c r="K74">
        <v>400</v>
      </c>
      <c r="M74">
        <v>64</v>
      </c>
      <c r="N74" t="s">
        <v>12</v>
      </c>
      <c r="O74" t="s">
        <v>13</v>
      </c>
      <c r="P74">
        <v>5986122.9780000001</v>
      </c>
      <c r="Q74">
        <v>5986114.7699999996</v>
      </c>
      <c r="R74" s="2">
        <f t="shared" si="1"/>
        <v>1.5443025568905367E-7</v>
      </c>
    </row>
    <row r="75" spans="1:20" x14ac:dyDescent="0.25">
      <c r="A75" t="s">
        <v>49</v>
      </c>
      <c r="B75" t="s">
        <v>50</v>
      </c>
      <c r="C75" t="s">
        <v>42</v>
      </c>
      <c r="D75" s="6">
        <v>24</v>
      </c>
      <c r="E75" s="1">
        <v>1.25E-4</v>
      </c>
      <c r="F75" s="5">
        <v>0.3</v>
      </c>
      <c r="G75">
        <v>12.8</v>
      </c>
      <c r="H75" s="9">
        <v>345</v>
      </c>
      <c r="I75" s="7">
        <v>0</v>
      </c>
      <c r="J75">
        <v>0</v>
      </c>
      <c r="K75">
        <v>400</v>
      </c>
      <c r="M75">
        <v>64</v>
      </c>
      <c r="N75" t="s">
        <v>12</v>
      </c>
      <c r="O75" t="s">
        <v>13</v>
      </c>
      <c r="P75">
        <v>5986114.0499999998</v>
      </c>
      <c r="Q75">
        <v>5986112.1780000003</v>
      </c>
      <c r="R75" s="2">
        <f t="shared" si="1"/>
        <v>3.5220935496348142E-8</v>
      </c>
      <c r="T75" t="s">
        <v>54</v>
      </c>
    </row>
    <row r="76" spans="1:20" x14ac:dyDescent="0.25">
      <c r="A76" t="s">
        <v>49</v>
      </c>
      <c r="B76" t="s">
        <v>50</v>
      </c>
      <c r="C76" t="s">
        <v>42</v>
      </c>
      <c r="D76" s="6">
        <v>28</v>
      </c>
      <c r="E76" s="1">
        <v>1.25E-4</v>
      </c>
      <c r="F76" s="5">
        <v>0.3</v>
      </c>
      <c r="G76">
        <v>12.8</v>
      </c>
      <c r="H76" s="9">
        <v>345</v>
      </c>
      <c r="I76" s="7">
        <v>250</v>
      </c>
      <c r="J76">
        <v>0.25</v>
      </c>
      <c r="K76">
        <v>400</v>
      </c>
      <c r="M76">
        <v>64</v>
      </c>
      <c r="N76" t="s">
        <v>12</v>
      </c>
      <c r="O76" t="s">
        <v>13</v>
      </c>
      <c r="P76">
        <v>5986083.8080000002</v>
      </c>
      <c r="Q76">
        <v>5986070.9910000004</v>
      </c>
      <c r="R76" s="2">
        <f t="shared" si="1"/>
        <v>2.4114675767545536E-7</v>
      </c>
    </row>
    <row r="77" spans="1:20" x14ac:dyDescent="0.25">
      <c r="A77" t="s">
        <v>49</v>
      </c>
      <c r="B77" t="s">
        <v>50</v>
      </c>
      <c r="C77" t="s">
        <v>42</v>
      </c>
      <c r="D77" s="6">
        <v>29</v>
      </c>
      <c r="E77" s="1">
        <v>1.25E-4</v>
      </c>
      <c r="F77" s="5">
        <v>0.3</v>
      </c>
      <c r="G77">
        <v>12.8</v>
      </c>
      <c r="H77" s="9">
        <v>345</v>
      </c>
      <c r="I77" s="7">
        <v>100</v>
      </c>
      <c r="J77">
        <v>0.1</v>
      </c>
      <c r="K77">
        <v>400</v>
      </c>
      <c r="M77">
        <v>64</v>
      </c>
      <c r="N77" t="s">
        <v>12</v>
      </c>
      <c r="O77" t="s">
        <v>13</v>
      </c>
      <c r="P77">
        <v>5986070.9910000004</v>
      </c>
      <c r="Q77">
        <v>5986065.807</v>
      </c>
      <c r="R77" s="2">
        <f t="shared" si="1"/>
        <v>9.7534898329928631E-8</v>
      </c>
    </row>
    <row r="78" spans="1:20" x14ac:dyDescent="0.25">
      <c r="A78" t="s">
        <v>49</v>
      </c>
      <c r="B78" t="s">
        <v>50</v>
      </c>
      <c r="C78" t="s">
        <v>42</v>
      </c>
      <c r="D78" s="6">
        <v>30</v>
      </c>
      <c r="E78" s="1">
        <v>1.25E-4</v>
      </c>
      <c r="F78" s="5">
        <v>0.3</v>
      </c>
      <c r="G78">
        <v>12.8</v>
      </c>
      <c r="H78" s="9">
        <v>345</v>
      </c>
      <c r="I78" s="7">
        <v>200</v>
      </c>
      <c r="J78">
        <v>0.2</v>
      </c>
      <c r="K78">
        <v>400</v>
      </c>
      <c r="M78">
        <v>64</v>
      </c>
      <c r="N78" t="s">
        <v>12</v>
      </c>
      <c r="O78" t="s">
        <v>13</v>
      </c>
      <c r="P78">
        <v>5986065.807</v>
      </c>
      <c r="Q78">
        <v>5986055.4390000002</v>
      </c>
      <c r="R78" s="2">
        <f t="shared" si="1"/>
        <v>1.950697966423348E-7</v>
      </c>
    </row>
    <row r="79" spans="1:20" x14ac:dyDescent="0.25">
      <c r="A79" t="s">
        <v>49</v>
      </c>
      <c r="B79" t="s">
        <v>50</v>
      </c>
      <c r="C79" t="s">
        <v>42</v>
      </c>
      <c r="D79" s="6">
        <v>31</v>
      </c>
      <c r="E79" s="1">
        <v>1.25E-4</v>
      </c>
      <c r="F79" s="5">
        <v>0.3</v>
      </c>
      <c r="G79">
        <v>12.8</v>
      </c>
      <c r="H79" s="9">
        <v>345</v>
      </c>
      <c r="I79" s="7">
        <v>50</v>
      </c>
      <c r="J79">
        <v>0.05</v>
      </c>
      <c r="K79">
        <v>400</v>
      </c>
      <c r="M79">
        <v>64</v>
      </c>
      <c r="N79" t="s">
        <v>12</v>
      </c>
      <c r="O79" t="s">
        <v>13</v>
      </c>
      <c r="P79">
        <v>5986055.4390000002</v>
      </c>
      <c r="Q79">
        <v>5986053.9979999997</v>
      </c>
      <c r="R79" s="2">
        <f t="shared" si="1"/>
        <v>2.711184192509384E-8</v>
      </c>
    </row>
    <row r="80" spans="1:20" x14ac:dyDescent="0.25">
      <c r="A80" t="s">
        <v>49</v>
      </c>
      <c r="B80" t="s">
        <v>50</v>
      </c>
      <c r="C80" t="s">
        <v>42</v>
      </c>
      <c r="D80" s="6">
        <v>32</v>
      </c>
      <c r="E80" s="1">
        <v>1.25E-4</v>
      </c>
      <c r="F80" s="5">
        <v>0.3</v>
      </c>
      <c r="G80">
        <v>12.8</v>
      </c>
      <c r="H80" s="9">
        <v>345</v>
      </c>
      <c r="I80" s="7">
        <v>150</v>
      </c>
      <c r="J80">
        <v>0.15</v>
      </c>
      <c r="K80">
        <v>400</v>
      </c>
      <c r="M80">
        <v>64</v>
      </c>
      <c r="N80" t="s">
        <v>12</v>
      </c>
      <c r="O80" t="s">
        <v>13</v>
      </c>
      <c r="P80">
        <v>5986053.9979999997</v>
      </c>
      <c r="Q80">
        <v>5986046.9419999998</v>
      </c>
      <c r="R80" s="2">
        <f t="shared" si="1"/>
        <v>1.3275583382627678E-7</v>
      </c>
    </row>
    <row r="81" spans="1:20" x14ac:dyDescent="0.25">
      <c r="A81" t="s">
        <v>49</v>
      </c>
      <c r="B81" t="s">
        <v>50</v>
      </c>
      <c r="C81" t="s">
        <v>42</v>
      </c>
      <c r="D81" s="6">
        <v>33</v>
      </c>
      <c r="E81" s="1">
        <v>1.25E-4</v>
      </c>
      <c r="F81" s="5">
        <v>7.4999999999999997E-2</v>
      </c>
      <c r="G81">
        <v>3</v>
      </c>
      <c r="H81" s="9">
        <v>345</v>
      </c>
      <c r="I81" s="7">
        <v>0</v>
      </c>
      <c r="J81">
        <v>0</v>
      </c>
      <c r="K81">
        <v>400</v>
      </c>
      <c r="M81">
        <v>64</v>
      </c>
      <c r="N81" t="s">
        <v>12</v>
      </c>
      <c r="O81" t="s">
        <v>13</v>
      </c>
      <c r="P81">
        <v>5986046.5099999998</v>
      </c>
      <c r="Q81">
        <v>5986044.0619999999</v>
      </c>
      <c r="R81" s="2">
        <f t="shared" si="1"/>
        <v>4.6058146427736585E-8</v>
      </c>
      <c r="T81" t="s">
        <v>55</v>
      </c>
    </row>
    <row r="82" spans="1:20" x14ac:dyDescent="0.25">
      <c r="A82" t="s">
        <v>49</v>
      </c>
      <c r="B82" t="s">
        <v>50</v>
      </c>
      <c r="C82" t="s">
        <v>42</v>
      </c>
      <c r="D82" s="6">
        <v>34</v>
      </c>
      <c r="E82" s="1">
        <v>1.25E-4</v>
      </c>
      <c r="F82" s="5">
        <v>7.4999999999999997E-2</v>
      </c>
      <c r="G82">
        <v>3</v>
      </c>
      <c r="H82" s="9">
        <v>345</v>
      </c>
      <c r="I82" s="7">
        <v>250</v>
      </c>
      <c r="J82">
        <v>0.25</v>
      </c>
      <c r="K82">
        <v>400</v>
      </c>
      <c r="M82">
        <v>64</v>
      </c>
      <c r="N82" t="s">
        <v>12</v>
      </c>
      <c r="O82" t="s">
        <v>13</v>
      </c>
      <c r="P82">
        <v>5986044.0619999999</v>
      </c>
      <c r="Q82">
        <v>5986030.0939999996</v>
      </c>
      <c r="R82" s="2">
        <f t="shared" si="1"/>
        <v>2.6280236493284829E-7</v>
      </c>
    </row>
    <row r="83" spans="1:20" x14ac:dyDescent="0.25">
      <c r="A83" t="s">
        <v>49</v>
      </c>
      <c r="B83" t="s">
        <v>50</v>
      </c>
      <c r="C83" t="s">
        <v>42</v>
      </c>
      <c r="D83" s="6">
        <v>35</v>
      </c>
      <c r="E83" s="1">
        <v>1.25E-4</v>
      </c>
      <c r="F83" s="5">
        <v>7.4999999999999997E-2</v>
      </c>
      <c r="G83">
        <v>3</v>
      </c>
      <c r="H83" s="9">
        <v>345</v>
      </c>
      <c r="I83" s="7">
        <v>100</v>
      </c>
      <c r="J83">
        <v>0.1</v>
      </c>
      <c r="K83">
        <v>400</v>
      </c>
      <c r="M83">
        <v>64</v>
      </c>
      <c r="N83" t="s">
        <v>12</v>
      </c>
      <c r="O83" t="s">
        <v>13</v>
      </c>
      <c r="P83">
        <v>5986030.0939999996</v>
      </c>
      <c r="Q83">
        <v>5986023.4689999996</v>
      </c>
      <c r="R83" s="2">
        <f t="shared" si="1"/>
        <v>1.2464674023749999E-7</v>
      </c>
    </row>
    <row r="84" spans="1:20" x14ac:dyDescent="0.25">
      <c r="A84" t="s">
        <v>49</v>
      </c>
      <c r="B84" t="s">
        <v>50</v>
      </c>
      <c r="C84" t="s">
        <v>42</v>
      </c>
      <c r="D84" s="6">
        <v>36</v>
      </c>
      <c r="E84" s="1">
        <v>1.25E-4</v>
      </c>
      <c r="F84" s="5">
        <v>7.4999999999999997E-2</v>
      </c>
      <c r="G84">
        <v>3</v>
      </c>
      <c r="H84" s="9">
        <v>345</v>
      </c>
      <c r="I84" s="7">
        <v>200</v>
      </c>
      <c r="J84">
        <v>0.2</v>
      </c>
      <c r="K84">
        <v>400</v>
      </c>
      <c r="M84">
        <v>64</v>
      </c>
      <c r="N84" t="s">
        <v>12</v>
      </c>
      <c r="O84" t="s">
        <v>13</v>
      </c>
      <c r="P84">
        <v>5986023.4689999996</v>
      </c>
      <c r="Q84">
        <v>5986011.2290000003</v>
      </c>
      <c r="R84" s="2">
        <f t="shared" si="1"/>
        <v>2.3029073213868295E-7</v>
      </c>
    </row>
    <row r="85" spans="1:20" x14ac:dyDescent="0.25">
      <c r="A85" t="s">
        <v>49</v>
      </c>
      <c r="B85" t="s">
        <v>50</v>
      </c>
      <c r="C85" t="s">
        <v>42</v>
      </c>
      <c r="D85" s="6">
        <v>37</v>
      </c>
      <c r="E85" s="1">
        <v>1.25E-4</v>
      </c>
      <c r="F85" s="5">
        <v>7.4999999999999997E-2</v>
      </c>
      <c r="G85">
        <v>3</v>
      </c>
      <c r="H85" s="9">
        <v>345</v>
      </c>
      <c r="I85" s="7">
        <v>50</v>
      </c>
      <c r="J85">
        <v>0.05</v>
      </c>
      <c r="K85">
        <v>400</v>
      </c>
      <c r="M85">
        <v>64</v>
      </c>
      <c r="N85" t="s">
        <v>12</v>
      </c>
      <c r="O85" t="s">
        <v>13</v>
      </c>
      <c r="P85">
        <v>5986011.2290000003</v>
      </c>
      <c r="Q85">
        <v>5986009.2130000005</v>
      </c>
      <c r="R85" s="2">
        <f t="shared" si="1"/>
        <v>3.7930238233575866E-8</v>
      </c>
    </row>
    <row r="86" spans="1:20" x14ac:dyDescent="0.25">
      <c r="A86" t="s">
        <v>49</v>
      </c>
      <c r="B86" t="s">
        <v>50</v>
      </c>
      <c r="C86" t="s">
        <v>42</v>
      </c>
      <c r="D86" s="6">
        <v>38</v>
      </c>
      <c r="E86" s="1">
        <v>1.25E-4</v>
      </c>
      <c r="F86" s="5">
        <v>7.4999999999999997E-2</v>
      </c>
      <c r="G86">
        <v>3</v>
      </c>
      <c r="H86" s="9">
        <v>345</v>
      </c>
      <c r="I86" s="7">
        <v>150</v>
      </c>
      <c r="J86">
        <v>0.15</v>
      </c>
      <c r="K86">
        <v>400</v>
      </c>
      <c r="M86">
        <v>64</v>
      </c>
      <c r="N86" t="s">
        <v>12</v>
      </c>
      <c r="O86" t="s">
        <v>13</v>
      </c>
      <c r="P86">
        <v>5986009.2130000005</v>
      </c>
      <c r="Q86">
        <v>5986000.4289999995</v>
      </c>
      <c r="R86" s="2">
        <f t="shared" si="1"/>
        <v>1.6526746662044212E-7</v>
      </c>
    </row>
    <row r="87" spans="1:20" x14ac:dyDescent="0.25">
      <c r="A87" t="s">
        <v>49</v>
      </c>
      <c r="B87" t="s">
        <v>50</v>
      </c>
      <c r="C87" t="s">
        <v>42</v>
      </c>
      <c r="D87" s="6">
        <v>39</v>
      </c>
      <c r="E87" s="1">
        <v>1.25E-4</v>
      </c>
      <c r="F87" s="5">
        <v>2.5000000000000001E-2</v>
      </c>
      <c r="G87">
        <v>1.35</v>
      </c>
      <c r="H87" s="9">
        <v>345</v>
      </c>
      <c r="I87" s="7">
        <v>0</v>
      </c>
      <c r="J87">
        <v>0</v>
      </c>
      <c r="K87">
        <v>400</v>
      </c>
      <c r="M87">
        <v>64</v>
      </c>
      <c r="N87" t="s">
        <v>12</v>
      </c>
      <c r="O87" t="s">
        <v>13</v>
      </c>
      <c r="P87">
        <v>5985999.7089999998</v>
      </c>
      <c r="Q87">
        <v>5985996.54</v>
      </c>
      <c r="R87" s="2">
        <f t="shared" si="1"/>
        <v>5.9623474684214252E-8</v>
      </c>
      <c r="T87" t="s">
        <v>56</v>
      </c>
    </row>
    <row r="88" spans="1:20" x14ac:dyDescent="0.25">
      <c r="A88" t="s">
        <v>49</v>
      </c>
      <c r="B88" t="s">
        <v>50</v>
      </c>
      <c r="C88" t="s">
        <v>42</v>
      </c>
      <c r="D88" s="6">
        <v>40</v>
      </c>
      <c r="E88" s="1">
        <v>1.25E-4</v>
      </c>
      <c r="F88" s="5">
        <v>2.5000000000000001E-2</v>
      </c>
      <c r="G88">
        <v>1.35</v>
      </c>
      <c r="H88" s="9">
        <v>345</v>
      </c>
      <c r="I88" s="7">
        <v>250</v>
      </c>
      <c r="J88">
        <v>0.25</v>
      </c>
      <c r="K88">
        <v>400</v>
      </c>
      <c r="M88">
        <v>64</v>
      </c>
      <c r="N88" t="s">
        <v>12</v>
      </c>
      <c r="O88" t="s">
        <v>13</v>
      </c>
      <c r="P88">
        <v>5985996.54</v>
      </c>
      <c r="Q88">
        <v>5985981.4199999999</v>
      </c>
      <c r="R88" s="2">
        <f t="shared" si="1"/>
        <v>2.8447678677810268E-7</v>
      </c>
    </row>
    <row r="89" spans="1:20" x14ac:dyDescent="0.25">
      <c r="A89" t="s">
        <v>49</v>
      </c>
      <c r="B89" t="s">
        <v>50</v>
      </c>
      <c r="C89" t="s">
        <v>42</v>
      </c>
      <c r="D89" s="6">
        <v>41</v>
      </c>
      <c r="E89" s="1">
        <v>1.25E-4</v>
      </c>
      <c r="F89" s="5">
        <v>2.5000000000000001E-2</v>
      </c>
      <c r="G89">
        <v>1.35</v>
      </c>
      <c r="H89" s="9">
        <v>345</v>
      </c>
      <c r="I89" s="7">
        <v>100</v>
      </c>
      <c r="J89">
        <v>0.1</v>
      </c>
      <c r="K89">
        <v>400</v>
      </c>
      <c r="M89">
        <v>64</v>
      </c>
      <c r="N89" t="s">
        <v>12</v>
      </c>
      <c r="O89" t="s">
        <v>13</v>
      </c>
      <c r="P89">
        <v>5985981.4199999999</v>
      </c>
      <c r="Q89">
        <v>5985974.5080000004</v>
      </c>
      <c r="R89" s="2">
        <f t="shared" si="1"/>
        <v>1.3004653108904904E-7</v>
      </c>
    </row>
    <row r="90" spans="1:20" x14ac:dyDescent="0.25">
      <c r="A90" t="s">
        <v>49</v>
      </c>
      <c r="B90" t="s">
        <v>50</v>
      </c>
      <c r="C90" t="s">
        <v>42</v>
      </c>
      <c r="D90" s="6">
        <v>42</v>
      </c>
      <c r="E90" s="1">
        <v>1.25E-4</v>
      </c>
      <c r="F90" s="5">
        <v>2.5000000000000001E-2</v>
      </c>
      <c r="G90">
        <v>1.35</v>
      </c>
      <c r="H90" s="9">
        <v>345</v>
      </c>
      <c r="I90" s="7">
        <v>200</v>
      </c>
      <c r="J90">
        <v>0.2</v>
      </c>
      <c r="K90">
        <v>400</v>
      </c>
      <c r="M90">
        <v>64</v>
      </c>
      <c r="N90" t="s">
        <v>12</v>
      </c>
      <c r="O90" t="s">
        <v>13</v>
      </c>
      <c r="P90">
        <v>5985974.5080000004</v>
      </c>
      <c r="Q90">
        <v>5985961.1160000004</v>
      </c>
      <c r="R90" s="2">
        <f t="shared" si="1"/>
        <v>2.519651540014598E-7</v>
      </c>
    </row>
    <row r="91" spans="1:20" x14ac:dyDescent="0.25">
      <c r="A91" t="s">
        <v>49</v>
      </c>
      <c r="B91" t="s">
        <v>50</v>
      </c>
      <c r="C91" t="s">
        <v>42</v>
      </c>
      <c r="D91" s="6">
        <v>43</v>
      </c>
      <c r="E91" s="1">
        <v>1.25E-4</v>
      </c>
      <c r="F91" s="5">
        <v>2.5000000000000001E-2</v>
      </c>
      <c r="G91">
        <v>1.35</v>
      </c>
      <c r="H91" s="9">
        <v>345</v>
      </c>
      <c r="I91" s="7">
        <v>50</v>
      </c>
      <c r="J91">
        <v>0.05</v>
      </c>
      <c r="K91">
        <v>400</v>
      </c>
      <c r="M91">
        <v>64</v>
      </c>
      <c r="N91" t="s">
        <v>12</v>
      </c>
      <c r="O91" t="s">
        <v>13</v>
      </c>
      <c r="P91">
        <v>5985961.1160000004</v>
      </c>
      <c r="Q91">
        <v>5985958.9560000002</v>
      </c>
      <c r="R91" s="2">
        <f t="shared" si="1"/>
        <v>4.0639540970803596E-8</v>
      </c>
    </row>
    <row r="92" spans="1:20" x14ac:dyDescent="0.25">
      <c r="A92" t="s">
        <v>49</v>
      </c>
      <c r="B92" t="s">
        <v>50</v>
      </c>
      <c r="C92" t="s">
        <v>42</v>
      </c>
      <c r="D92" s="6">
        <v>44</v>
      </c>
      <c r="E92" s="1">
        <v>1.25E-4</v>
      </c>
      <c r="F92" s="5">
        <v>2.5000000000000001E-2</v>
      </c>
      <c r="G92">
        <v>1.35</v>
      </c>
      <c r="H92" s="9">
        <v>345</v>
      </c>
      <c r="I92" s="7">
        <v>150</v>
      </c>
      <c r="J92">
        <v>0.15</v>
      </c>
      <c r="K92">
        <v>400</v>
      </c>
      <c r="M92">
        <v>64</v>
      </c>
      <c r="N92" t="s">
        <v>12</v>
      </c>
      <c r="O92" t="s">
        <v>13</v>
      </c>
      <c r="P92">
        <v>5985958.9560000002</v>
      </c>
      <c r="Q92">
        <v>5985949.8839999996</v>
      </c>
      <c r="R92" s="2">
        <f t="shared" si="1"/>
        <v>1.706860720773751E-7</v>
      </c>
    </row>
    <row r="93" spans="1:20" x14ac:dyDescent="0.25">
      <c r="D93" s="6"/>
      <c r="E93" s="1"/>
      <c r="F93" s="11"/>
      <c r="H93" s="9"/>
    </row>
    <row r="94" spans="1:20" x14ac:dyDescent="0.25">
      <c r="A94" t="s">
        <v>58</v>
      </c>
      <c r="B94" t="s">
        <v>57</v>
      </c>
      <c r="C94" t="s">
        <v>42</v>
      </c>
      <c r="D94" s="6">
        <v>0</v>
      </c>
      <c r="E94" s="1">
        <v>1.15E-5</v>
      </c>
      <c r="F94" s="1">
        <v>1.15E-5</v>
      </c>
      <c r="G94">
        <v>0</v>
      </c>
      <c r="H94" s="9">
        <v>1000</v>
      </c>
      <c r="I94" s="7">
        <v>0</v>
      </c>
      <c r="J94">
        <v>0</v>
      </c>
      <c r="K94">
        <v>400</v>
      </c>
      <c r="M94">
        <v>64</v>
      </c>
      <c r="N94" t="s">
        <v>12</v>
      </c>
      <c r="O94" t="s">
        <v>13</v>
      </c>
      <c r="P94">
        <v>5985936.7800000003</v>
      </c>
      <c r="Q94">
        <v>5985933.1799999997</v>
      </c>
      <c r="R94" s="2">
        <f t="shared" si="1"/>
        <v>6.7732568290513477E-8</v>
      </c>
    </row>
    <row r="95" spans="1:20" x14ac:dyDescent="0.25">
      <c r="A95" t="s">
        <v>58</v>
      </c>
      <c r="B95" t="s">
        <v>57</v>
      </c>
      <c r="C95" t="s">
        <v>42</v>
      </c>
      <c r="D95" s="6">
        <v>1</v>
      </c>
      <c r="E95" s="1">
        <v>1.15E-5</v>
      </c>
      <c r="F95" s="1">
        <v>1.15E-5</v>
      </c>
      <c r="G95">
        <v>0</v>
      </c>
      <c r="H95" s="9">
        <v>1000</v>
      </c>
      <c r="I95" s="7">
        <v>250</v>
      </c>
      <c r="J95">
        <v>0.25</v>
      </c>
      <c r="K95">
        <v>400</v>
      </c>
      <c r="M95">
        <v>64</v>
      </c>
      <c r="N95" t="s">
        <v>12</v>
      </c>
      <c r="O95" t="s">
        <v>13</v>
      </c>
      <c r="P95">
        <v>5985933.1799999997</v>
      </c>
      <c r="Q95">
        <v>5985905.2439999999</v>
      </c>
      <c r="R95" s="2">
        <f t="shared" si="1"/>
        <v>5.2560472984817411E-7</v>
      </c>
    </row>
    <row r="96" spans="1:20" x14ac:dyDescent="0.25">
      <c r="A96" t="s">
        <v>58</v>
      </c>
      <c r="B96" t="s">
        <v>57</v>
      </c>
      <c r="C96" t="s">
        <v>42</v>
      </c>
      <c r="D96" s="6">
        <v>2</v>
      </c>
      <c r="E96" s="1">
        <v>1.15E-5</v>
      </c>
      <c r="F96" s="1">
        <v>1.15E-5</v>
      </c>
      <c r="G96">
        <v>0</v>
      </c>
      <c r="H96" s="9">
        <v>1000</v>
      </c>
      <c r="I96" s="7">
        <v>100</v>
      </c>
      <c r="J96">
        <v>0.1</v>
      </c>
      <c r="K96">
        <v>400</v>
      </c>
      <c r="M96">
        <v>64</v>
      </c>
      <c r="N96" t="s">
        <v>12</v>
      </c>
      <c r="O96" t="s">
        <v>13</v>
      </c>
      <c r="P96">
        <v>5985905.2439999999</v>
      </c>
      <c r="Q96">
        <v>5985893.148</v>
      </c>
      <c r="R96" s="2">
        <f t="shared" si="1"/>
        <v>2.2758142941897767E-7</v>
      </c>
    </row>
    <row r="97" spans="1:20" x14ac:dyDescent="0.25">
      <c r="A97" t="s">
        <v>58</v>
      </c>
      <c r="B97" t="s">
        <v>57</v>
      </c>
      <c r="C97" t="s">
        <v>42</v>
      </c>
      <c r="D97" s="6">
        <v>3</v>
      </c>
      <c r="E97" s="1">
        <v>1.15E-5</v>
      </c>
      <c r="F97" s="1">
        <v>1.15E-5</v>
      </c>
      <c r="G97">
        <v>0</v>
      </c>
      <c r="H97" s="9">
        <v>1000</v>
      </c>
      <c r="I97" s="7">
        <v>200</v>
      </c>
      <c r="J97">
        <v>0.2</v>
      </c>
      <c r="K97">
        <v>400</v>
      </c>
      <c r="M97">
        <v>64</v>
      </c>
      <c r="N97" t="s">
        <v>12</v>
      </c>
      <c r="O97" t="s">
        <v>13</v>
      </c>
      <c r="P97">
        <v>5985893.148</v>
      </c>
      <c r="Q97">
        <v>5985868.9560000002</v>
      </c>
      <c r="R97" s="2">
        <f t="shared" si="1"/>
        <v>4.5516285883795535E-7</v>
      </c>
    </row>
    <row r="98" spans="1:20" x14ac:dyDescent="0.25">
      <c r="A98" t="s">
        <v>58</v>
      </c>
      <c r="B98" t="s">
        <v>57</v>
      </c>
      <c r="C98" t="s">
        <v>42</v>
      </c>
      <c r="D98" s="6">
        <v>4</v>
      </c>
      <c r="E98" s="1">
        <v>1.15E-5</v>
      </c>
      <c r="F98" s="1">
        <v>1.15E-5</v>
      </c>
      <c r="G98">
        <v>0</v>
      </c>
      <c r="H98" s="9">
        <v>1000</v>
      </c>
      <c r="I98" s="7">
        <v>50</v>
      </c>
      <c r="J98">
        <v>0.05</v>
      </c>
      <c r="K98">
        <v>400</v>
      </c>
      <c r="M98">
        <v>64</v>
      </c>
      <c r="N98" t="s">
        <v>12</v>
      </c>
      <c r="O98" t="s">
        <v>13</v>
      </c>
      <c r="P98">
        <v>5985868.9560000002</v>
      </c>
      <c r="Q98">
        <v>5985865.3559999997</v>
      </c>
      <c r="R98" s="2">
        <f t="shared" si="1"/>
        <v>6.7732568290513477E-8</v>
      </c>
    </row>
    <row r="99" spans="1:20" x14ac:dyDescent="0.25">
      <c r="A99" t="s">
        <v>58</v>
      </c>
      <c r="B99" t="s">
        <v>57</v>
      </c>
      <c r="C99" t="s">
        <v>42</v>
      </c>
      <c r="D99" s="6">
        <v>5</v>
      </c>
      <c r="E99" s="1">
        <v>1.15E-5</v>
      </c>
      <c r="F99" s="1">
        <v>1.15E-5</v>
      </c>
      <c r="G99">
        <v>0</v>
      </c>
      <c r="H99" s="9">
        <v>1000</v>
      </c>
      <c r="I99" s="7">
        <v>150</v>
      </c>
      <c r="J99">
        <v>0.15</v>
      </c>
      <c r="K99">
        <v>400</v>
      </c>
      <c r="M99">
        <v>64</v>
      </c>
      <c r="N99" t="s">
        <v>12</v>
      </c>
      <c r="O99" t="s">
        <v>13</v>
      </c>
      <c r="P99">
        <v>5985865.3559999997</v>
      </c>
      <c r="Q99">
        <v>5985847.6440000003</v>
      </c>
      <c r="R99" s="2">
        <f t="shared" si="1"/>
        <v>3.3324423592554453E-7</v>
      </c>
    </row>
    <row r="100" spans="1:20" x14ac:dyDescent="0.25">
      <c r="A100" t="s">
        <v>58</v>
      </c>
      <c r="B100" t="s">
        <v>57</v>
      </c>
      <c r="C100" t="s">
        <v>42</v>
      </c>
      <c r="D100" s="6">
        <v>6</v>
      </c>
      <c r="E100" s="1">
        <v>1.02E-4</v>
      </c>
      <c r="F100" s="3">
        <v>0.1</v>
      </c>
      <c r="G100">
        <v>3.95</v>
      </c>
      <c r="H100" s="9">
        <v>345</v>
      </c>
      <c r="I100" s="7">
        <v>0</v>
      </c>
      <c r="J100">
        <v>0</v>
      </c>
      <c r="K100">
        <v>400</v>
      </c>
      <c r="M100">
        <v>64</v>
      </c>
      <c r="N100" t="s">
        <v>12</v>
      </c>
      <c r="O100" t="s">
        <v>13</v>
      </c>
      <c r="P100">
        <v>5985844.7649999997</v>
      </c>
      <c r="Q100">
        <v>5985839.5810000002</v>
      </c>
      <c r="R100" s="2">
        <f t="shared" si="1"/>
        <v>9.7534898312406166E-8</v>
      </c>
      <c r="T100" t="s">
        <v>60</v>
      </c>
    </row>
    <row r="101" spans="1:20" x14ac:dyDescent="0.25">
      <c r="A101" t="s">
        <v>58</v>
      </c>
      <c r="B101" t="s">
        <v>57</v>
      </c>
      <c r="C101" t="s">
        <v>42</v>
      </c>
      <c r="D101" s="6">
        <v>7</v>
      </c>
      <c r="E101" s="1">
        <v>1.02E-4</v>
      </c>
      <c r="F101" s="3">
        <v>0.1</v>
      </c>
      <c r="G101">
        <v>3.95</v>
      </c>
      <c r="H101" s="9">
        <v>345</v>
      </c>
      <c r="I101" s="7">
        <v>250</v>
      </c>
      <c r="J101">
        <v>0.25</v>
      </c>
      <c r="K101">
        <v>400</v>
      </c>
      <c r="M101">
        <v>64</v>
      </c>
      <c r="N101" t="s">
        <v>12</v>
      </c>
      <c r="O101" t="s">
        <v>13</v>
      </c>
      <c r="P101">
        <v>5985839.5810000002</v>
      </c>
      <c r="Q101">
        <v>5985810.926</v>
      </c>
      <c r="R101" s="2">
        <f t="shared" si="1"/>
        <v>5.3913242891140634E-7</v>
      </c>
    </row>
    <row r="102" spans="1:20" x14ac:dyDescent="0.25">
      <c r="A102" t="s">
        <v>58</v>
      </c>
      <c r="B102" t="s">
        <v>57</v>
      </c>
      <c r="C102" t="s">
        <v>42</v>
      </c>
      <c r="D102" s="6">
        <v>8</v>
      </c>
      <c r="E102" s="1">
        <v>1.02E-4</v>
      </c>
      <c r="F102" s="3">
        <v>0.1</v>
      </c>
      <c r="G102">
        <v>3.95</v>
      </c>
      <c r="H102" s="9">
        <v>345</v>
      </c>
      <c r="I102" s="7">
        <v>100</v>
      </c>
      <c r="J102">
        <v>0.1</v>
      </c>
      <c r="K102">
        <v>400</v>
      </c>
      <c r="M102">
        <v>64</v>
      </c>
      <c r="N102" t="s">
        <v>12</v>
      </c>
      <c r="O102" t="s">
        <v>13</v>
      </c>
      <c r="P102">
        <v>5985810.926</v>
      </c>
      <c r="Q102">
        <v>5985799.2620000001</v>
      </c>
      <c r="R102" s="2">
        <f t="shared" si="1"/>
        <v>2.1945352122481695E-7</v>
      </c>
    </row>
    <row r="103" spans="1:20" x14ac:dyDescent="0.25">
      <c r="A103" t="s">
        <v>58</v>
      </c>
      <c r="B103" t="s">
        <v>57</v>
      </c>
      <c r="C103" t="s">
        <v>42</v>
      </c>
      <c r="D103" s="6">
        <v>9</v>
      </c>
      <c r="E103" s="1">
        <v>1.02E-4</v>
      </c>
      <c r="F103" s="3">
        <v>0.1</v>
      </c>
      <c r="G103">
        <v>3.95</v>
      </c>
      <c r="H103" s="9">
        <v>345</v>
      </c>
      <c r="I103" s="7">
        <v>200</v>
      </c>
      <c r="J103">
        <v>0.2</v>
      </c>
      <c r="K103">
        <v>400</v>
      </c>
      <c r="M103">
        <v>64</v>
      </c>
      <c r="N103" t="s">
        <v>12</v>
      </c>
      <c r="O103" t="s">
        <v>13</v>
      </c>
      <c r="P103">
        <v>5985799.2620000001</v>
      </c>
      <c r="Q103">
        <v>5985775.6469999999</v>
      </c>
      <c r="R103" s="2">
        <f t="shared" si="1"/>
        <v>4.443068333187054E-7</v>
      </c>
    </row>
    <row r="104" spans="1:20" x14ac:dyDescent="0.25">
      <c r="A104" t="s">
        <v>58</v>
      </c>
      <c r="B104" t="s">
        <v>57</v>
      </c>
      <c r="C104" t="s">
        <v>42</v>
      </c>
      <c r="D104" s="6">
        <v>10</v>
      </c>
      <c r="E104" s="1">
        <v>1.02E-4</v>
      </c>
      <c r="F104" s="3">
        <v>0.1</v>
      </c>
      <c r="G104">
        <v>3.95</v>
      </c>
      <c r="H104" s="9">
        <v>345</v>
      </c>
      <c r="I104" s="7">
        <v>50</v>
      </c>
      <c r="J104">
        <v>0.05</v>
      </c>
      <c r="K104">
        <v>400</v>
      </c>
      <c r="M104">
        <v>64</v>
      </c>
      <c r="N104" t="s">
        <v>12</v>
      </c>
      <c r="O104" t="s">
        <v>13</v>
      </c>
      <c r="P104">
        <v>5985775.6469999999</v>
      </c>
      <c r="Q104">
        <v>5985772.0470000003</v>
      </c>
      <c r="R104" s="2">
        <f t="shared" si="1"/>
        <v>6.7732568272991013E-8</v>
      </c>
    </row>
    <row r="105" spans="1:20" x14ac:dyDescent="0.25">
      <c r="A105" t="s">
        <v>58</v>
      </c>
      <c r="B105" t="s">
        <v>57</v>
      </c>
      <c r="C105" t="s">
        <v>42</v>
      </c>
      <c r="D105" s="6">
        <v>11</v>
      </c>
      <c r="E105" s="1">
        <v>1.02E-4</v>
      </c>
      <c r="F105" s="3">
        <v>0.1</v>
      </c>
      <c r="G105">
        <v>3.95</v>
      </c>
      <c r="H105" s="9">
        <v>345</v>
      </c>
      <c r="I105" s="7">
        <v>150</v>
      </c>
      <c r="J105">
        <v>0.15</v>
      </c>
      <c r="K105">
        <v>400</v>
      </c>
      <c r="M105">
        <v>64</v>
      </c>
      <c r="N105" t="s">
        <v>12</v>
      </c>
      <c r="O105" t="s">
        <v>13</v>
      </c>
      <c r="P105">
        <v>5985772.0470000003</v>
      </c>
      <c r="Q105">
        <v>5985755.0559999999</v>
      </c>
      <c r="R105" s="2">
        <f t="shared" si="1"/>
        <v>3.1967890768658936E-7</v>
      </c>
      <c r="T105" t="s">
        <v>59</v>
      </c>
    </row>
    <row r="106" spans="1:20" x14ac:dyDescent="0.25">
      <c r="A106" t="s">
        <v>58</v>
      </c>
      <c r="B106" t="s">
        <v>57</v>
      </c>
      <c r="C106" t="s">
        <v>42</v>
      </c>
      <c r="D106" s="6">
        <v>12</v>
      </c>
      <c r="E106" s="1">
        <v>1.02E-4</v>
      </c>
      <c r="F106" s="4">
        <v>0.05</v>
      </c>
      <c r="G106">
        <v>2.11</v>
      </c>
      <c r="H106" s="9">
        <v>345</v>
      </c>
      <c r="I106" s="7">
        <v>0</v>
      </c>
      <c r="J106">
        <v>0</v>
      </c>
      <c r="K106">
        <v>400</v>
      </c>
      <c r="M106">
        <v>64</v>
      </c>
      <c r="N106" t="s">
        <v>12</v>
      </c>
      <c r="O106" t="s">
        <v>13</v>
      </c>
      <c r="P106">
        <v>5985755.0559999999</v>
      </c>
      <c r="Q106">
        <v>5985748.7199999997</v>
      </c>
      <c r="R106" s="2">
        <f t="shared" si="1"/>
        <v>1.1920932017518305E-7</v>
      </c>
      <c r="T106" t="s">
        <v>61</v>
      </c>
    </row>
    <row r="107" spans="1:20" x14ac:dyDescent="0.25">
      <c r="A107" t="s">
        <v>58</v>
      </c>
      <c r="B107" t="s">
        <v>57</v>
      </c>
      <c r="C107" t="s">
        <v>42</v>
      </c>
      <c r="D107" s="6">
        <v>13</v>
      </c>
      <c r="E107" s="1">
        <v>1.02E-4</v>
      </c>
      <c r="F107" s="4">
        <v>0.05</v>
      </c>
      <c r="G107">
        <v>2.11</v>
      </c>
      <c r="H107" s="9">
        <v>345</v>
      </c>
      <c r="I107" s="7">
        <v>250</v>
      </c>
      <c r="J107">
        <v>0.25</v>
      </c>
      <c r="K107">
        <v>400</v>
      </c>
      <c r="M107">
        <v>64</v>
      </c>
      <c r="N107" t="s">
        <v>12</v>
      </c>
      <c r="O107" t="s">
        <v>13</v>
      </c>
      <c r="P107">
        <v>5985748.7199999997</v>
      </c>
      <c r="Q107">
        <v>5985718.4819999998</v>
      </c>
      <c r="R107" s="2">
        <f t="shared" si="1"/>
        <v>5.689159443454375E-7</v>
      </c>
    </row>
    <row r="108" spans="1:20" x14ac:dyDescent="0.25">
      <c r="A108" t="s">
        <v>58</v>
      </c>
      <c r="B108" t="s">
        <v>57</v>
      </c>
      <c r="C108" t="s">
        <v>42</v>
      </c>
      <c r="D108" s="6">
        <v>14</v>
      </c>
      <c r="E108" s="1">
        <v>1.02E-4</v>
      </c>
      <c r="F108" s="4">
        <v>0.05</v>
      </c>
      <c r="G108">
        <v>2.11</v>
      </c>
      <c r="H108" s="9">
        <v>345</v>
      </c>
      <c r="I108" s="7">
        <v>100</v>
      </c>
      <c r="J108">
        <v>0.1</v>
      </c>
      <c r="K108">
        <v>400</v>
      </c>
      <c r="M108">
        <v>64</v>
      </c>
      <c r="N108" t="s">
        <v>12</v>
      </c>
      <c r="O108" t="s">
        <v>13</v>
      </c>
      <c r="P108">
        <v>5985718.4819999998</v>
      </c>
      <c r="Q108">
        <v>5985706.6749999998</v>
      </c>
      <c r="R108" s="2">
        <f t="shared" si="1"/>
        <v>2.2214400935666073E-7</v>
      </c>
    </row>
    <row r="109" spans="1:20" x14ac:dyDescent="0.25">
      <c r="A109" t="s">
        <v>58</v>
      </c>
      <c r="B109" t="s">
        <v>57</v>
      </c>
      <c r="C109" t="s">
        <v>42</v>
      </c>
      <c r="D109" s="6">
        <v>15</v>
      </c>
      <c r="E109" s="1">
        <v>1.02E-4</v>
      </c>
      <c r="F109" s="4">
        <v>0.05</v>
      </c>
      <c r="G109">
        <v>2.11</v>
      </c>
      <c r="H109" s="9">
        <v>345</v>
      </c>
      <c r="I109" s="7">
        <v>200</v>
      </c>
      <c r="J109">
        <v>0.2</v>
      </c>
      <c r="K109">
        <v>400</v>
      </c>
      <c r="M109">
        <v>64</v>
      </c>
      <c r="N109" t="s">
        <v>12</v>
      </c>
      <c r="O109" t="s">
        <v>13</v>
      </c>
      <c r="P109">
        <v>5985706.6749999998</v>
      </c>
      <c r="Q109">
        <v>5985682.9170000004</v>
      </c>
      <c r="R109" s="2">
        <f t="shared" si="1"/>
        <v>4.4699732143302674E-7</v>
      </c>
    </row>
    <row r="110" spans="1:20" x14ac:dyDescent="0.25">
      <c r="A110" t="s">
        <v>58</v>
      </c>
      <c r="B110" t="s">
        <v>57</v>
      </c>
      <c r="C110" t="s">
        <v>42</v>
      </c>
      <c r="D110" s="6">
        <v>16</v>
      </c>
      <c r="E110" s="1">
        <v>1.02E-4</v>
      </c>
      <c r="F110" s="4">
        <v>0.05</v>
      </c>
      <c r="G110">
        <v>2.11</v>
      </c>
      <c r="H110" s="9">
        <v>345</v>
      </c>
      <c r="I110" s="7">
        <v>50</v>
      </c>
      <c r="J110">
        <v>0.05</v>
      </c>
      <c r="K110">
        <v>400</v>
      </c>
      <c r="M110">
        <v>64</v>
      </c>
      <c r="N110" t="s">
        <v>12</v>
      </c>
      <c r="O110" t="s">
        <v>13</v>
      </c>
      <c r="P110">
        <v>5985682.9170000004</v>
      </c>
      <c r="Q110">
        <v>5985678.165</v>
      </c>
      <c r="R110" s="2">
        <f t="shared" si="1"/>
        <v>8.9406990135767911E-8</v>
      </c>
    </row>
    <row r="111" spans="1:20" x14ac:dyDescent="0.25">
      <c r="A111" t="s">
        <v>58</v>
      </c>
      <c r="B111" t="s">
        <v>57</v>
      </c>
      <c r="C111" t="s">
        <v>42</v>
      </c>
      <c r="D111" s="6">
        <v>17</v>
      </c>
      <c r="E111" s="1">
        <v>1.02E-4</v>
      </c>
      <c r="F111" s="4">
        <v>0.05</v>
      </c>
      <c r="G111">
        <v>2.11</v>
      </c>
      <c r="H111" s="9">
        <v>345</v>
      </c>
      <c r="I111" s="7">
        <v>150</v>
      </c>
      <c r="J111">
        <v>0.15</v>
      </c>
      <c r="K111">
        <v>400</v>
      </c>
      <c r="M111">
        <v>64</v>
      </c>
      <c r="N111" t="s">
        <v>12</v>
      </c>
      <c r="O111" t="s">
        <v>13</v>
      </c>
      <c r="P111">
        <v>5985678.165</v>
      </c>
      <c r="Q111">
        <v>5985660.1670000004</v>
      </c>
      <c r="R111" s="2">
        <f t="shared" si="1"/>
        <v>3.3862521218923209E-7</v>
      </c>
      <c r="T111" t="s">
        <v>62</v>
      </c>
    </row>
    <row r="112" spans="1:20" x14ac:dyDescent="0.25">
      <c r="A112" t="s">
        <v>58</v>
      </c>
      <c r="B112" t="s">
        <v>57</v>
      </c>
      <c r="C112" t="s">
        <v>42</v>
      </c>
      <c r="D112" s="6">
        <v>18</v>
      </c>
      <c r="E112" s="1">
        <v>1.02E-4</v>
      </c>
      <c r="F112" s="5">
        <v>0.2</v>
      </c>
      <c r="G112">
        <v>8.1</v>
      </c>
      <c r="H112" s="9">
        <v>345</v>
      </c>
      <c r="I112" s="7">
        <v>0</v>
      </c>
      <c r="J112">
        <v>0</v>
      </c>
      <c r="K112">
        <v>400</v>
      </c>
      <c r="M112">
        <v>64</v>
      </c>
      <c r="N112" t="s">
        <v>12</v>
      </c>
      <c r="O112" t="s">
        <v>13</v>
      </c>
      <c r="P112">
        <v>5985658.727</v>
      </c>
      <c r="Q112">
        <v>5985653.2560000001</v>
      </c>
      <c r="R112" s="2">
        <f t="shared" si="1"/>
        <v>1.0293468918147767E-7</v>
      </c>
    </row>
    <row r="113" spans="1:20" x14ac:dyDescent="0.25">
      <c r="A113" t="s">
        <v>58</v>
      </c>
      <c r="B113" t="s">
        <v>57</v>
      </c>
      <c r="C113" t="s">
        <v>42</v>
      </c>
      <c r="D113" s="6">
        <v>19</v>
      </c>
      <c r="E113" s="1">
        <v>1.02E-4</v>
      </c>
      <c r="F113" s="5">
        <v>0.2</v>
      </c>
      <c r="G113">
        <v>8.1</v>
      </c>
      <c r="H113" s="9">
        <v>345</v>
      </c>
      <c r="I113" s="7">
        <v>250</v>
      </c>
      <c r="J113">
        <v>0.25</v>
      </c>
      <c r="K113">
        <v>400</v>
      </c>
      <c r="M113">
        <v>64</v>
      </c>
      <c r="N113" t="s">
        <v>12</v>
      </c>
      <c r="O113" t="s">
        <v>13</v>
      </c>
      <c r="P113">
        <v>5985653.2560000001</v>
      </c>
      <c r="Q113">
        <v>5985621.7230000002</v>
      </c>
      <c r="R113" s="2">
        <f t="shared" si="1"/>
        <v>5.9328085432253575E-7</v>
      </c>
    </row>
    <row r="114" spans="1:20" x14ac:dyDescent="0.25">
      <c r="A114" t="s">
        <v>58</v>
      </c>
      <c r="B114" t="s">
        <v>57</v>
      </c>
      <c r="C114" t="s">
        <v>42</v>
      </c>
      <c r="D114" s="6">
        <v>20</v>
      </c>
      <c r="E114" s="1">
        <v>1.02E-4</v>
      </c>
      <c r="F114" s="5">
        <v>0.2</v>
      </c>
      <c r="G114">
        <v>8.1</v>
      </c>
      <c r="H114" s="9">
        <v>345</v>
      </c>
      <c r="I114" s="7">
        <v>100</v>
      </c>
      <c r="J114">
        <v>0.1</v>
      </c>
      <c r="K114">
        <v>400</v>
      </c>
      <c r="M114">
        <v>64</v>
      </c>
      <c r="N114" t="s">
        <v>12</v>
      </c>
      <c r="O114" t="s">
        <v>13</v>
      </c>
      <c r="P114">
        <v>5985621.7230000002</v>
      </c>
      <c r="Q114">
        <v>5985609.0520000001</v>
      </c>
      <c r="R114" s="2">
        <f t="shared" si="1"/>
        <v>2.3839982574498217E-7</v>
      </c>
    </row>
    <row r="115" spans="1:20" x14ac:dyDescent="0.25">
      <c r="A115" t="s">
        <v>58</v>
      </c>
      <c r="B115" t="s">
        <v>57</v>
      </c>
      <c r="C115" t="s">
        <v>42</v>
      </c>
      <c r="D115" s="6">
        <v>21</v>
      </c>
      <c r="E115" s="1">
        <v>1.02E-4</v>
      </c>
      <c r="F115" s="5">
        <v>0.2</v>
      </c>
      <c r="G115">
        <v>8.1</v>
      </c>
      <c r="H115" s="9">
        <v>345</v>
      </c>
      <c r="I115" s="7">
        <v>200</v>
      </c>
      <c r="J115">
        <v>0.2</v>
      </c>
      <c r="K115">
        <v>400</v>
      </c>
      <c r="M115">
        <v>64</v>
      </c>
      <c r="N115" t="s">
        <v>12</v>
      </c>
      <c r="O115" t="s">
        <v>13</v>
      </c>
      <c r="P115">
        <v>5985609.0520000001</v>
      </c>
      <c r="Q115">
        <v>5985583.7110000001</v>
      </c>
      <c r="R115" s="2">
        <f t="shared" si="1"/>
        <v>4.7678083688458036E-7</v>
      </c>
    </row>
    <row r="116" spans="1:20" x14ac:dyDescent="0.25">
      <c r="A116" t="s">
        <v>58</v>
      </c>
      <c r="B116" t="s">
        <v>57</v>
      </c>
      <c r="C116" t="s">
        <v>42</v>
      </c>
      <c r="D116" s="6">
        <v>22</v>
      </c>
      <c r="E116" s="1">
        <v>1.02E-4</v>
      </c>
      <c r="F116" s="5">
        <v>0.2</v>
      </c>
      <c r="G116">
        <v>8.1</v>
      </c>
      <c r="H116" s="9">
        <v>345</v>
      </c>
      <c r="I116" s="7">
        <v>50</v>
      </c>
      <c r="J116">
        <v>0.05</v>
      </c>
      <c r="K116">
        <v>400</v>
      </c>
      <c r="M116">
        <v>64</v>
      </c>
      <c r="N116" t="s">
        <v>12</v>
      </c>
      <c r="O116" t="s">
        <v>13</v>
      </c>
      <c r="P116">
        <v>5985583.7110000001</v>
      </c>
      <c r="Q116">
        <v>5985580.3990000002</v>
      </c>
      <c r="R116" s="2">
        <f t="shared" si="1"/>
        <v>6.231396281605803E-8</v>
      </c>
    </row>
    <row r="117" spans="1:20" x14ac:dyDescent="0.25">
      <c r="A117" t="s">
        <v>58</v>
      </c>
      <c r="B117" t="s">
        <v>57</v>
      </c>
      <c r="C117" t="s">
        <v>42</v>
      </c>
      <c r="D117" s="6">
        <v>23</v>
      </c>
      <c r="E117" s="1">
        <v>1.02E-4</v>
      </c>
      <c r="F117" s="5">
        <v>0.2</v>
      </c>
      <c r="G117">
        <v>8.1</v>
      </c>
      <c r="H117" s="9">
        <v>345</v>
      </c>
      <c r="I117" s="7">
        <v>150</v>
      </c>
      <c r="J117">
        <v>0.15</v>
      </c>
      <c r="K117">
        <v>400</v>
      </c>
      <c r="M117">
        <v>64</v>
      </c>
      <c r="N117" t="s">
        <v>12</v>
      </c>
      <c r="O117" t="s">
        <v>13</v>
      </c>
      <c r="P117">
        <v>5985580.3990000002</v>
      </c>
      <c r="Q117">
        <v>5985562.8329999996</v>
      </c>
      <c r="R117" s="2">
        <f t="shared" si="1"/>
        <v>3.3049730401259386E-7</v>
      </c>
    </row>
    <row r="118" spans="1:20" x14ac:dyDescent="0.25">
      <c r="A118" t="s">
        <v>58</v>
      </c>
      <c r="B118" t="s">
        <v>57</v>
      </c>
      <c r="C118" t="s">
        <v>42</v>
      </c>
      <c r="D118" s="6">
        <v>24</v>
      </c>
      <c r="E118" s="1">
        <v>1.02E-4</v>
      </c>
      <c r="F118" s="5">
        <v>0.3</v>
      </c>
      <c r="G118">
        <v>12.8</v>
      </c>
      <c r="H118" s="9">
        <v>345</v>
      </c>
      <c r="I118" s="7">
        <v>0</v>
      </c>
      <c r="J118">
        <v>0</v>
      </c>
      <c r="K118">
        <v>400</v>
      </c>
      <c r="M118">
        <v>64</v>
      </c>
      <c r="N118" t="s">
        <v>12</v>
      </c>
      <c r="O118" t="s">
        <v>13</v>
      </c>
      <c r="P118">
        <v>5985562.5449999999</v>
      </c>
      <c r="Q118">
        <v>5985558.2259999998</v>
      </c>
      <c r="R118" s="2">
        <f t="shared" si="1"/>
        <v>8.1260267336223234E-8</v>
      </c>
      <c r="T118" t="s">
        <v>63</v>
      </c>
    </row>
    <row r="119" spans="1:20" x14ac:dyDescent="0.25">
      <c r="A119" t="s">
        <v>58</v>
      </c>
      <c r="B119" t="s">
        <v>57</v>
      </c>
      <c r="C119" t="s">
        <v>42</v>
      </c>
      <c r="D119" s="6">
        <v>25</v>
      </c>
      <c r="E119" s="1">
        <v>1.02E-4</v>
      </c>
      <c r="F119" s="5">
        <v>0.3</v>
      </c>
      <c r="G119">
        <v>12.8</v>
      </c>
      <c r="H119" s="9">
        <v>345</v>
      </c>
      <c r="I119" s="7">
        <v>250</v>
      </c>
      <c r="J119">
        <v>0.25</v>
      </c>
      <c r="K119">
        <v>400</v>
      </c>
      <c r="M119">
        <v>64</v>
      </c>
      <c r="N119" t="s">
        <v>12</v>
      </c>
      <c r="O119" t="s">
        <v>13</v>
      </c>
      <c r="P119">
        <v>5985558.2259999998</v>
      </c>
      <c r="Q119">
        <v>5985531.733</v>
      </c>
      <c r="R119" s="2">
        <f t="shared" si="1"/>
        <v>4.984552587298348E-7</v>
      </c>
    </row>
    <row r="120" spans="1:20" x14ac:dyDescent="0.25">
      <c r="A120" t="s">
        <v>58</v>
      </c>
      <c r="B120" t="s">
        <v>57</v>
      </c>
      <c r="C120" t="s">
        <v>42</v>
      </c>
      <c r="D120" s="6">
        <v>26</v>
      </c>
      <c r="E120" s="1">
        <v>1.02E-4</v>
      </c>
      <c r="F120" s="5">
        <v>0.3</v>
      </c>
      <c r="G120">
        <v>12.8</v>
      </c>
      <c r="H120" s="9">
        <v>345</v>
      </c>
      <c r="I120" s="7">
        <v>100</v>
      </c>
      <c r="J120">
        <v>0.1</v>
      </c>
      <c r="K120">
        <v>400</v>
      </c>
      <c r="M120">
        <v>64</v>
      </c>
      <c r="N120" t="s">
        <v>12</v>
      </c>
      <c r="O120" t="s">
        <v>13</v>
      </c>
      <c r="P120">
        <v>5985531.733</v>
      </c>
      <c r="Q120">
        <v>5985521.3660000004</v>
      </c>
      <c r="R120" s="2">
        <f t="shared" si="1"/>
        <v>1.9505098203695084E-7</v>
      </c>
    </row>
    <row r="121" spans="1:20" x14ac:dyDescent="0.25">
      <c r="A121" t="s">
        <v>58</v>
      </c>
      <c r="B121" t="s">
        <v>57</v>
      </c>
      <c r="C121" t="s">
        <v>42</v>
      </c>
      <c r="D121" s="6">
        <v>27</v>
      </c>
      <c r="E121" s="1">
        <v>1.02E-4</v>
      </c>
      <c r="F121" s="5">
        <v>0.3</v>
      </c>
      <c r="G121">
        <v>12.8</v>
      </c>
      <c r="H121" s="9">
        <v>345</v>
      </c>
      <c r="I121" s="7">
        <v>200</v>
      </c>
      <c r="J121">
        <v>0.2</v>
      </c>
      <c r="K121">
        <v>400</v>
      </c>
      <c r="M121">
        <v>64</v>
      </c>
      <c r="N121" t="s">
        <v>12</v>
      </c>
      <c r="O121" t="s">
        <v>13</v>
      </c>
      <c r="P121">
        <v>5985521.3660000004</v>
      </c>
      <c r="Q121">
        <v>5985501.0650000004</v>
      </c>
      <c r="R121" s="2">
        <f t="shared" si="1"/>
        <v>3.8195524129187946E-7</v>
      </c>
    </row>
    <row r="122" spans="1:20" x14ac:dyDescent="0.25">
      <c r="A122" t="s">
        <v>58</v>
      </c>
      <c r="B122" t="s">
        <v>57</v>
      </c>
      <c r="C122" t="s">
        <v>42</v>
      </c>
      <c r="D122" s="6">
        <v>28</v>
      </c>
      <c r="E122" s="1">
        <v>1.02E-4</v>
      </c>
      <c r="F122" s="5">
        <v>0.3</v>
      </c>
      <c r="G122">
        <v>12.8</v>
      </c>
      <c r="H122" s="9">
        <v>345</v>
      </c>
      <c r="I122" s="7">
        <v>50</v>
      </c>
      <c r="J122">
        <v>0.05</v>
      </c>
      <c r="K122">
        <v>400</v>
      </c>
      <c r="M122">
        <v>64</v>
      </c>
      <c r="N122" t="s">
        <v>12</v>
      </c>
      <c r="O122" t="s">
        <v>13</v>
      </c>
      <c r="P122">
        <v>5985501.0650000004</v>
      </c>
      <c r="Q122">
        <v>5985497.6090000002</v>
      </c>
      <c r="R122" s="2">
        <f t="shared" si="1"/>
        <v>6.5023265553285754E-8</v>
      </c>
    </row>
    <row r="123" spans="1:20" x14ac:dyDescent="0.25">
      <c r="A123" t="s">
        <v>58</v>
      </c>
      <c r="B123" t="s">
        <v>57</v>
      </c>
      <c r="C123" t="s">
        <v>42</v>
      </c>
      <c r="D123" s="6">
        <v>29</v>
      </c>
      <c r="E123" s="1">
        <v>1.02E-4</v>
      </c>
      <c r="F123" s="5">
        <v>0.3</v>
      </c>
      <c r="G123">
        <v>12.8</v>
      </c>
      <c r="H123" s="9">
        <v>345</v>
      </c>
      <c r="I123" s="7">
        <v>150</v>
      </c>
      <c r="J123">
        <v>0.15</v>
      </c>
      <c r="K123">
        <v>400</v>
      </c>
      <c r="M123">
        <v>64</v>
      </c>
      <c r="N123" t="s">
        <v>12</v>
      </c>
      <c r="O123" t="s">
        <v>13</v>
      </c>
      <c r="P123">
        <v>5985497.6090000002</v>
      </c>
      <c r="Q123">
        <v>5985482.7800000003</v>
      </c>
      <c r="R123" s="2">
        <f t="shared" si="1"/>
        <v>2.7900173750501788E-7</v>
      </c>
      <c r="T123" t="s">
        <v>65</v>
      </c>
    </row>
    <row r="124" spans="1:20" x14ac:dyDescent="0.25">
      <c r="A124" t="s">
        <v>58</v>
      </c>
      <c r="B124" t="s">
        <v>57</v>
      </c>
      <c r="C124" t="s">
        <v>42</v>
      </c>
      <c r="D124" s="6">
        <v>30</v>
      </c>
      <c r="E124" s="1">
        <v>1.02E-4</v>
      </c>
      <c r="F124" s="5">
        <v>7.4999999999999997E-2</v>
      </c>
      <c r="G124">
        <v>3</v>
      </c>
      <c r="H124" s="9">
        <v>345</v>
      </c>
      <c r="I124" s="7">
        <v>0</v>
      </c>
      <c r="J124">
        <v>0</v>
      </c>
      <c r="K124">
        <v>400</v>
      </c>
      <c r="M124">
        <v>64</v>
      </c>
      <c r="N124" t="s">
        <v>12</v>
      </c>
      <c r="O124" t="s">
        <v>13</v>
      </c>
      <c r="P124">
        <v>5985482.3480000002</v>
      </c>
      <c r="Q124">
        <v>5985476.8760000002</v>
      </c>
      <c r="R124" s="2">
        <f t="shared" si="1"/>
        <v>1.0295350378686163E-7</v>
      </c>
      <c r="T124" t="s">
        <v>64</v>
      </c>
    </row>
    <row r="125" spans="1:20" x14ac:dyDescent="0.25">
      <c r="A125" t="s">
        <v>58</v>
      </c>
      <c r="B125" t="s">
        <v>57</v>
      </c>
      <c r="C125" t="s">
        <v>42</v>
      </c>
      <c r="D125" s="6">
        <v>31</v>
      </c>
      <c r="E125" s="1">
        <v>1.02E-4</v>
      </c>
      <c r="F125" s="5">
        <v>7.4999999999999997E-2</v>
      </c>
      <c r="G125">
        <v>3</v>
      </c>
      <c r="H125" s="9">
        <v>345</v>
      </c>
      <c r="I125" s="7">
        <v>250</v>
      </c>
      <c r="J125">
        <v>0.25</v>
      </c>
      <c r="K125">
        <v>400</v>
      </c>
      <c r="M125">
        <v>64</v>
      </c>
      <c r="N125" t="s">
        <v>12</v>
      </c>
      <c r="O125" t="s">
        <v>13</v>
      </c>
      <c r="P125">
        <v>5985476.8760000002</v>
      </c>
      <c r="Q125">
        <v>5985445.057</v>
      </c>
      <c r="R125" s="2">
        <f t="shared" si="1"/>
        <v>5.9866183058622325E-7</v>
      </c>
    </row>
    <row r="126" spans="1:20" x14ac:dyDescent="0.25">
      <c r="A126" t="s">
        <v>58</v>
      </c>
      <c r="B126" t="s">
        <v>57</v>
      </c>
      <c r="C126" t="s">
        <v>42</v>
      </c>
      <c r="D126" s="6">
        <v>32</v>
      </c>
      <c r="E126" s="1">
        <v>1.02E-4</v>
      </c>
      <c r="F126" s="5">
        <v>7.4999999999999997E-2</v>
      </c>
      <c r="G126">
        <v>3</v>
      </c>
      <c r="H126" s="9">
        <v>345</v>
      </c>
      <c r="I126" s="7">
        <v>100</v>
      </c>
      <c r="J126">
        <v>0.1</v>
      </c>
      <c r="K126">
        <v>400</v>
      </c>
      <c r="M126">
        <v>64</v>
      </c>
      <c r="N126" t="s">
        <v>12</v>
      </c>
      <c r="O126" t="s">
        <v>13</v>
      </c>
      <c r="P126">
        <v>5985445.057</v>
      </c>
      <c r="Q126">
        <v>5985432.6749999998</v>
      </c>
      <c r="R126" s="2">
        <f t="shared" si="1"/>
        <v>2.3296240568266523E-7</v>
      </c>
    </row>
    <row r="127" spans="1:20" x14ac:dyDescent="0.25">
      <c r="A127" t="s">
        <v>58</v>
      </c>
      <c r="B127" t="s">
        <v>57</v>
      </c>
      <c r="C127" t="s">
        <v>42</v>
      </c>
      <c r="D127" s="6">
        <v>33</v>
      </c>
      <c r="E127" s="1">
        <v>1.02E-4</v>
      </c>
      <c r="F127" s="5">
        <v>7.4999999999999997E-2</v>
      </c>
      <c r="G127">
        <v>3</v>
      </c>
      <c r="H127" s="9">
        <v>345</v>
      </c>
      <c r="I127" s="7">
        <v>200</v>
      </c>
      <c r="J127">
        <v>0.2</v>
      </c>
      <c r="K127">
        <v>400</v>
      </c>
      <c r="M127">
        <v>64</v>
      </c>
      <c r="N127" t="s">
        <v>12</v>
      </c>
      <c r="O127" t="s">
        <v>13</v>
      </c>
      <c r="P127">
        <v>5985432.6749999998</v>
      </c>
      <c r="Q127">
        <v>5985406.7599999998</v>
      </c>
      <c r="R127" s="2">
        <f t="shared" si="1"/>
        <v>4.8758041860520092E-7</v>
      </c>
    </row>
    <row r="128" spans="1:20" x14ac:dyDescent="0.25">
      <c r="A128" t="s">
        <v>58</v>
      </c>
      <c r="B128" t="s">
        <v>57</v>
      </c>
      <c r="C128" t="s">
        <v>42</v>
      </c>
      <c r="D128" s="6">
        <v>34</v>
      </c>
      <c r="E128" s="1">
        <v>1.02E-4</v>
      </c>
      <c r="F128" s="5">
        <v>7.4999999999999997E-2</v>
      </c>
      <c r="G128">
        <v>3</v>
      </c>
      <c r="H128" s="9">
        <v>345</v>
      </c>
      <c r="I128" s="7">
        <v>50</v>
      </c>
      <c r="J128">
        <v>0.05</v>
      </c>
      <c r="K128">
        <v>400</v>
      </c>
      <c r="M128">
        <v>64</v>
      </c>
      <c r="N128" t="s">
        <v>12</v>
      </c>
      <c r="O128" t="s">
        <v>13</v>
      </c>
      <c r="P128">
        <v>5985406.7599999998</v>
      </c>
      <c r="Q128">
        <v>5985403.4479999999</v>
      </c>
      <c r="R128" s="2">
        <f t="shared" si="1"/>
        <v>6.231396281605803E-8</v>
      </c>
    </row>
    <row r="129" spans="1:20" x14ac:dyDescent="0.25">
      <c r="A129" t="s">
        <v>58</v>
      </c>
      <c r="B129" t="s">
        <v>57</v>
      </c>
      <c r="C129" t="s">
        <v>42</v>
      </c>
      <c r="D129" s="6">
        <v>35</v>
      </c>
      <c r="E129" s="1">
        <v>1.02E-4</v>
      </c>
      <c r="F129" s="5">
        <v>7.4999999999999997E-2</v>
      </c>
      <c r="G129">
        <v>3</v>
      </c>
      <c r="H129" s="9">
        <v>345</v>
      </c>
      <c r="I129" s="7">
        <v>150</v>
      </c>
      <c r="J129">
        <v>0.15</v>
      </c>
      <c r="K129">
        <v>400</v>
      </c>
      <c r="M129">
        <v>64</v>
      </c>
      <c r="N129" t="s">
        <v>12</v>
      </c>
      <c r="O129" t="s">
        <v>13</v>
      </c>
      <c r="P129">
        <v>5985403.4479999999</v>
      </c>
      <c r="Q129">
        <v>5985385.307</v>
      </c>
      <c r="R129" s="2">
        <f t="shared" si="1"/>
        <v>3.4131570032107589E-7</v>
      </c>
      <c r="T129" t="s">
        <v>66</v>
      </c>
    </row>
    <row r="130" spans="1:20" x14ac:dyDescent="0.25">
      <c r="A130" t="s">
        <v>58</v>
      </c>
      <c r="B130" t="s">
        <v>57</v>
      </c>
      <c r="C130" t="s">
        <v>42</v>
      </c>
      <c r="D130" s="6">
        <v>36</v>
      </c>
      <c r="E130" s="1">
        <v>1.02E-4</v>
      </c>
      <c r="F130" s="5">
        <v>2.5000000000000001E-2</v>
      </c>
      <c r="G130">
        <v>1.35</v>
      </c>
      <c r="H130" s="9">
        <v>345</v>
      </c>
      <c r="I130" s="7">
        <v>0</v>
      </c>
      <c r="J130">
        <v>0</v>
      </c>
      <c r="K130">
        <v>400</v>
      </c>
      <c r="M130">
        <v>64</v>
      </c>
      <c r="N130" t="s">
        <v>12</v>
      </c>
      <c r="O130" t="s">
        <v>13</v>
      </c>
      <c r="P130">
        <v>5985384.8760000002</v>
      </c>
      <c r="Q130">
        <v>5985378.5410000002</v>
      </c>
      <c r="R130" s="2">
        <f t="shared" si="1"/>
        <v>1.1919050556979911E-7</v>
      </c>
      <c r="T130" t="s">
        <v>67</v>
      </c>
    </row>
    <row r="131" spans="1:20" x14ac:dyDescent="0.25">
      <c r="A131" t="s">
        <v>58</v>
      </c>
      <c r="B131" t="s">
        <v>57</v>
      </c>
      <c r="C131" t="s">
        <v>42</v>
      </c>
      <c r="D131" s="6">
        <v>37</v>
      </c>
      <c r="E131" s="1">
        <v>1.02E-4</v>
      </c>
      <c r="F131" s="5">
        <v>2.5000000000000001E-2</v>
      </c>
      <c r="G131">
        <v>1.35</v>
      </c>
      <c r="H131" s="9">
        <v>345</v>
      </c>
      <c r="I131" s="7">
        <v>250</v>
      </c>
      <c r="J131">
        <v>0.25</v>
      </c>
      <c r="K131">
        <v>400</v>
      </c>
      <c r="M131">
        <v>64</v>
      </c>
      <c r="N131" t="s">
        <v>12</v>
      </c>
      <c r="O131" t="s">
        <v>13</v>
      </c>
      <c r="P131">
        <v>5985378.5410000002</v>
      </c>
      <c r="Q131">
        <v>5985347.2989999996</v>
      </c>
      <c r="R131" s="2">
        <f t="shared" si="1"/>
        <v>5.878058050669733E-7</v>
      </c>
    </row>
    <row r="132" spans="1:20" x14ac:dyDescent="0.25">
      <c r="A132" t="s">
        <v>58</v>
      </c>
      <c r="B132" t="s">
        <v>57</v>
      </c>
      <c r="C132" t="s">
        <v>42</v>
      </c>
      <c r="D132" s="6">
        <v>38</v>
      </c>
      <c r="E132" s="1">
        <v>1.02E-4</v>
      </c>
      <c r="F132" s="5">
        <v>2.5000000000000001E-2</v>
      </c>
      <c r="G132">
        <v>1.35</v>
      </c>
      <c r="H132" s="9">
        <v>345</v>
      </c>
      <c r="I132" s="7">
        <v>100</v>
      </c>
      <c r="J132">
        <v>0.1</v>
      </c>
      <c r="K132">
        <v>400</v>
      </c>
      <c r="M132">
        <v>64</v>
      </c>
      <c r="N132" t="s">
        <v>12</v>
      </c>
      <c r="O132" t="s">
        <v>13</v>
      </c>
      <c r="P132">
        <v>5985347.2989999996</v>
      </c>
      <c r="Q132">
        <v>5985334.341</v>
      </c>
      <c r="R132" s="2">
        <f t="shared" si="1"/>
        <v>2.4379961659653119E-7</v>
      </c>
    </row>
    <row r="133" spans="1:20" x14ac:dyDescent="0.25">
      <c r="A133" t="s">
        <v>58</v>
      </c>
      <c r="B133" t="s">
        <v>57</v>
      </c>
      <c r="C133" t="s">
        <v>42</v>
      </c>
      <c r="D133" s="6">
        <v>39</v>
      </c>
      <c r="E133" s="1">
        <v>1.02E-4</v>
      </c>
      <c r="F133" s="5">
        <v>2.5000000000000001E-2</v>
      </c>
      <c r="G133">
        <v>1.35</v>
      </c>
      <c r="H133" s="9">
        <v>345</v>
      </c>
      <c r="I133" s="7">
        <v>200</v>
      </c>
      <c r="J133">
        <v>0.2</v>
      </c>
      <c r="K133">
        <v>400</v>
      </c>
      <c r="M133">
        <v>64</v>
      </c>
      <c r="N133" t="s">
        <v>12</v>
      </c>
      <c r="O133" t="s">
        <v>13</v>
      </c>
      <c r="P133">
        <v>5985334.341</v>
      </c>
      <c r="Q133">
        <v>5985308.7139999997</v>
      </c>
      <c r="R133" s="2">
        <f t="shared" ref="R133:R196" si="2">0.0000000188146023 * ( P133 - Q133 )</f>
        <v>4.8216181314826791E-7</v>
      </c>
    </row>
    <row r="134" spans="1:20" x14ac:dyDescent="0.25">
      <c r="A134" t="s">
        <v>58</v>
      </c>
      <c r="B134" t="s">
        <v>57</v>
      </c>
      <c r="C134" t="s">
        <v>42</v>
      </c>
      <c r="D134" s="6">
        <v>40</v>
      </c>
      <c r="E134" s="1">
        <v>1.02E-4</v>
      </c>
      <c r="F134" s="5">
        <v>2.5000000000000001E-2</v>
      </c>
      <c r="G134">
        <v>1.35</v>
      </c>
      <c r="H134" s="9">
        <v>345</v>
      </c>
      <c r="I134" s="7">
        <v>50</v>
      </c>
      <c r="J134">
        <v>0.05</v>
      </c>
      <c r="K134">
        <v>400</v>
      </c>
      <c r="M134">
        <v>64</v>
      </c>
      <c r="N134" t="s">
        <v>12</v>
      </c>
      <c r="O134" t="s">
        <v>13</v>
      </c>
      <c r="P134">
        <v>5985308.7139999997</v>
      </c>
      <c r="Q134">
        <v>5985305.2589999996</v>
      </c>
      <c r="R134" s="2">
        <f t="shared" si="2"/>
        <v>6.5004450947901795E-8</v>
      </c>
    </row>
    <row r="135" spans="1:20" x14ac:dyDescent="0.25">
      <c r="A135" t="s">
        <v>58</v>
      </c>
      <c r="B135" t="s">
        <v>57</v>
      </c>
      <c r="C135" t="s">
        <v>42</v>
      </c>
      <c r="D135" s="6">
        <v>41</v>
      </c>
      <c r="E135" s="1">
        <v>1.02E-4</v>
      </c>
      <c r="F135" s="5">
        <v>2.5000000000000001E-2</v>
      </c>
      <c r="G135">
        <v>1.35</v>
      </c>
      <c r="H135" s="9">
        <v>345</v>
      </c>
      <c r="I135" s="7">
        <v>150</v>
      </c>
      <c r="J135">
        <v>0.15</v>
      </c>
      <c r="K135">
        <v>400</v>
      </c>
      <c r="M135">
        <v>64</v>
      </c>
      <c r="N135" t="s">
        <v>12</v>
      </c>
      <c r="O135" t="s">
        <v>13</v>
      </c>
      <c r="P135">
        <v>5985305.2589999996</v>
      </c>
      <c r="Q135">
        <v>5985286.6869999999</v>
      </c>
      <c r="R135" s="2">
        <f t="shared" si="2"/>
        <v>3.4942479390985265E-7</v>
      </c>
      <c r="T135" t="s">
        <v>68</v>
      </c>
    </row>
    <row r="136" spans="1:20" x14ac:dyDescent="0.25">
      <c r="R136" s="2">
        <f t="shared" si="2"/>
        <v>0</v>
      </c>
    </row>
    <row r="137" spans="1:20" x14ac:dyDescent="0.25">
      <c r="A137" t="s">
        <v>69</v>
      </c>
      <c r="B137" t="s">
        <v>78</v>
      </c>
      <c r="C137" t="s">
        <v>42</v>
      </c>
      <c r="D137" s="6">
        <v>0</v>
      </c>
      <c r="E137" s="1">
        <v>1.7E-5</v>
      </c>
      <c r="F137" s="1">
        <v>1.7E-5</v>
      </c>
      <c r="G137">
        <v>0</v>
      </c>
      <c r="H137" s="9">
        <v>1000</v>
      </c>
      <c r="I137" s="7">
        <v>0</v>
      </c>
      <c r="J137">
        <v>0</v>
      </c>
      <c r="K137">
        <v>400</v>
      </c>
      <c r="M137">
        <v>64</v>
      </c>
      <c r="N137" t="s">
        <v>12</v>
      </c>
      <c r="O137" t="s">
        <v>13</v>
      </c>
      <c r="P137">
        <v>5985276.3210000005</v>
      </c>
      <c r="Q137">
        <v>5985272.7220000001</v>
      </c>
      <c r="R137" s="2">
        <f t="shared" si="2"/>
        <v>6.7713753685129532E-8</v>
      </c>
    </row>
    <row r="138" spans="1:20" x14ac:dyDescent="0.25">
      <c r="A138" t="s">
        <v>69</v>
      </c>
      <c r="B138" t="s">
        <v>78</v>
      </c>
      <c r="C138" t="s">
        <v>42</v>
      </c>
      <c r="D138" s="6">
        <v>1</v>
      </c>
      <c r="E138" s="1">
        <v>1.7E-5</v>
      </c>
      <c r="F138" s="1">
        <v>1.7E-5</v>
      </c>
      <c r="G138">
        <v>0</v>
      </c>
      <c r="H138" s="9">
        <v>1000</v>
      </c>
      <c r="I138" s="7">
        <v>250</v>
      </c>
      <c r="J138">
        <v>0.25</v>
      </c>
      <c r="K138">
        <v>400</v>
      </c>
      <c r="M138">
        <v>64</v>
      </c>
      <c r="N138" t="s">
        <v>12</v>
      </c>
      <c r="O138" t="s">
        <v>13</v>
      </c>
      <c r="P138">
        <v>5985272.7220000001</v>
      </c>
      <c r="Q138">
        <v>5985255.1579999998</v>
      </c>
      <c r="R138" s="2">
        <f t="shared" si="2"/>
        <v>3.3045967480182594E-7</v>
      </c>
    </row>
    <row r="139" spans="1:20" x14ac:dyDescent="0.25">
      <c r="A139" t="s">
        <v>69</v>
      </c>
      <c r="B139" t="s">
        <v>78</v>
      </c>
      <c r="C139" t="s">
        <v>42</v>
      </c>
      <c r="D139" s="6">
        <v>2</v>
      </c>
      <c r="E139" s="1">
        <v>1.7E-5</v>
      </c>
      <c r="F139" s="1">
        <v>1.7E-5</v>
      </c>
      <c r="G139">
        <v>0</v>
      </c>
      <c r="H139" s="9">
        <v>1000</v>
      </c>
      <c r="I139" s="7">
        <v>100</v>
      </c>
      <c r="J139">
        <v>0.1</v>
      </c>
      <c r="K139">
        <v>400</v>
      </c>
      <c r="M139">
        <v>64</v>
      </c>
      <c r="N139" t="s">
        <v>12</v>
      </c>
      <c r="O139" t="s">
        <v>13</v>
      </c>
      <c r="P139">
        <v>5985255.1579999998</v>
      </c>
      <c r="Q139">
        <v>5985247.6710000001</v>
      </c>
      <c r="R139" s="2">
        <f t="shared" si="2"/>
        <v>1.4086492741505354E-7</v>
      </c>
    </row>
    <row r="140" spans="1:20" x14ac:dyDescent="0.25">
      <c r="A140" t="s">
        <v>69</v>
      </c>
      <c r="B140" t="s">
        <v>78</v>
      </c>
      <c r="C140" t="s">
        <v>42</v>
      </c>
      <c r="D140" s="6">
        <v>3</v>
      </c>
      <c r="E140" s="1">
        <v>1.7E-5</v>
      </c>
      <c r="F140" s="1">
        <v>1.7E-5</v>
      </c>
      <c r="G140">
        <v>0</v>
      </c>
      <c r="H140" s="9">
        <v>1000</v>
      </c>
      <c r="I140" s="7">
        <v>200</v>
      </c>
      <c r="J140">
        <v>0.2</v>
      </c>
      <c r="K140">
        <v>400</v>
      </c>
      <c r="M140">
        <v>64</v>
      </c>
      <c r="N140" t="s">
        <v>12</v>
      </c>
      <c r="O140" t="s">
        <v>13</v>
      </c>
      <c r="P140">
        <v>5985247.6710000001</v>
      </c>
      <c r="Q140">
        <v>5985231.4029999999</v>
      </c>
      <c r="R140" s="2">
        <f t="shared" si="2"/>
        <v>3.0607595021934376E-7</v>
      </c>
    </row>
    <row r="141" spans="1:20" x14ac:dyDescent="0.25">
      <c r="A141" t="s">
        <v>69</v>
      </c>
      <c r="B141" t="s">
        <v>78</v>
      </c>
      <c r="C141" t="s">
        <v>42</v>
      </c>
      <c r="D141" s="6">
        <v>4</v>
      </c>
      <c r="E141" s="1">
        <v>1.7E-5</v>
      </c>
      <c r="F141" s="1">
        <v>1.7E-5</v>
      </c>
      <c r="G141">
        <v>0</v>
      </c>
      <c r="H141" s="9">
        <v>1000</v>
      </c>
      <c r="I141" s="7">
        <v>50</v>
      </c>
      <c r="J141">
        <v>0.05</v>
      </c>
      <c r="K141">
        <v>400</v>
      </c>
      <c r="M141">
        <v>64</v>
      </c>
      <c r="N141" t="s">
        <v>12</v>
      </c>
      <c r="O141" t="s">
        <v>13</v>
      </c>
      <c r="P141">
        <v>5985231.4029999999</v>
      </c>
      <c r="Q141">
        <v>5985229.2429999998</v>
      </c>
      <c r="R141" s="2">
        <f t="shared" si="2"/>
        <v>4.0639540970803596E-8</v>
      </c>
    </row>
    <row r="142" spans="1:20" x14ac:dyDescent="0.25">
      <c r="A142" t="s">
        <v>69</v>
      </c>
      <c r="B142" t="s">
        <v>78</v>
      </c>
      <c r="C142" t="s">
        <v>42</v>
      </c>
      <c r="D142" s="6">
        <v>5</v>
      </c>
      <c r="E142" s="1">
        <v>1.7E-5</v>
      </c>
      <c r="F142" s="1">
        <v>1.7E-5</v>
      </c>
      <c r="G142">
        <v>0</v>
      </c>
      <c r="H142" s="9">
        <v>1000</v>
      </c>
      <c r="I142" s="7">
        <v>150</v>
      </c>
      <c r="J142">
        <v>0.15</v>
      </c>
      <c r="K142">
        <v>400</v>
      </c>
      <c r="M142">
        <v>64</v>
      </c>
      <c r="N142" t="s">
        <v>12</v>
      </c>
      <c r="O142" t="s">
        <v>13</v>
      </c>
      <c r="P142">
        <v>5985229.2429999998</v>
      </c>
      <c r="Q142">
        <v>5985216.8619999997</v>
      </c>
      <c r="R142" s="2">
        <f t="shared" si="2"/>
        <v>2.3294359107728127E-7</v>
      </c>
    </row>
    <row r="143" spans="1:20" x14ac:dyDescent="0.25">
      <c r="A143" t="s">
        <v>69</v>
      </c>
      <c r="B143" t="s">
        <v>78</v>
      </c>
      <c r="C143" t="s">
        <v>42</v>
      </c>
      <c r="D143" s="6">
        <v>6</v>
      </c>
      <c r="E143" s="1">
        <v>1.47E-4</v>
      </c>
      <c r="F143" s="3">
        <v>0.1</v>
      </c>
      <c r="G143">
        <v>3.95</v>
      </c>
      <c r="H143" s="9">
        <v>345</v>
      </c>
      <c r="I143" s="7">
        <v>0</v>
      </c>
      <c r="J143">
        <v>0</v>
      </c>
      <c r="K143">
        <v>400</v>
      </c>
      <c r="M143">
        <v>64</v>
      </c>
      <c r="N143" t="s">
        <v>12</v>
      </c>
      <c r="O143" t="s">
        <v>13</v>
      </c>
      <c r="P143">
        <v>5985215.8550000004</v>
      </c>
      <c r="Q143">
        <v>5985212.1109999996</v>
      </c>
      <c r="R143" s="2">
        <f t="shared" si="2"/>
        <v>7.0441871027741214E-8</v>
      </c>
      <c r="T143" t="s">
        <v>70</v>
      </c>
    </row>
    <row r="144" spans="1:20" x14ac:dyDescent="0.25">
      <c r="A144" t="s">
        <v>69</v>
      </c>
      <c r="B144" t="s">
        <v>78</v>
      </c>
      <c r="C144" t="s">
        <v>42</v>
      </c>
      <c r="D144" s="6">
        <v>7</v>
      </c>
      <c r="E144" s="1">
        <v>1.47E-4</v>
      </c>
      <c r="F144" s="3">
        <v>0.1</v>
      </c>
      <c r="G144">
        <v>3.95</v>
      </c>
      <c r="H144" s="9">
        <v>345</v>
      </c>
      <c r="I144" s="7">
        <v>250</v>
      </c>
      <c r="J144">
        <v>0.25</v>
      </c>
      <c r="K144">
        <v>400</v>
      </c>
      <c r="M144">
        <v>64</v>
      </c>
      <c r="N144" t="s">
        <v>12</v>
      </c>
      <c r="O144" t="s">
        <v>13</v>
      </c>
      <c r="P144">
        <v>5985212.1109999996</v>
      </c>
      <c r="Q144">
        <v>5985193.2520000003</v>
      </c>
      <c r="R144" s="2">
        <f t="shared" si="2"/>
        <v>3.5482458476140168E-7</v>
      </c>
    </row>
    <row r="145" spans="1:20" x14ac:dyDescent="0.25">
      <c r="A145" t="s">
        <v>69</v>
      </c>
      <c r="B145" t="s">
        <v>78</v>
      </c>
      <c r="C145" t="s">
        <v>42</v>
      </c>
      <c r="D145" s="6">
        <v>8</v>
      </c>
      <c r="E145" s="1">
        <v>1.47E-4</v>
      </c>
      <c r="F145" s="3">
        <v>0.1</v>
      </c>
      <c r="G145">
        <v>3.95</v>
      </c>
      <c r="H145" s="9">
        <v>345</v>
      </c>
      <c r="I145" s="7">
        <v>100</v>
      </c>
      <c r="J145">
        <v>0.1</v>
      </c>
      <c r="K145">
        <v>400</v>
      </c>
      <c r="M145">
        <v>64</v>
      </c>
      <c r="N145" t="s">
        <v>12</v>
      </c>
      <c r="O145" t="s">
        <v>13</v>
      </c>
      <c r="P145">
        <v>5985193.2520000003</v>
      </c>
      <c r="Q145">
        <v>5985185.7659999998</v>
      </c>
      <c r="R145" s="2">
        <f t="shared" si="2"/>
        <v>1.4084611282719205E-7</v>
      </c>
    </row>
    <row r="146" spans="1:20" x14ac:dyDescent="0.25">
      <c r="A146" t="s">
        <v>69</v>
      </c>
      <c r="B146" t="s">
        <v>78</v>
      </c>
      <c r="C146" t="s">
        <v>42</v>
      </c>
      <c r="D146" s="6">
        <v>9</v>
      </c>
      <c r="E146" s="1">
        <v>1.47E-4</v>
      </c>
      <c r="F146" s="3">
        <v>0.1</v>
      </c>
      <c r="G146">
        <v>3.95</v>
      </c>
      <c r="H146" s="9">
        <v>345</v>
      </c>
      <c r="I146" s="7">
        <v>200</v>
      </c>
      <c r="J146">
        <v>0.2</v>
      </c>
      <c r="K146">
        <v>400</v>
      </c>
      <c r="M146">
        <v>64</v>
      </c>
      <c r="N146" t="s">
        <v>12</v>
      </c>
      <c r="O146" t="s">
        <v>13</v>
      </c>
      <c r="P146">
        <v>5985185.7659999998</v>
      </c>
      <c r="Q146">
        <v>5985170.2180000003</v>
      </c>
      <c r="R146" s="2">
        <f t="shared" si="2"/>
        <v>2.9252943655072759E-7</v>
      </c>
    </row>
    <row r="147" spans="1:20" x14ac:dyDescent="0.25">
      <c r="A147" t="s">
        <v>69</v>
      </c>
      <c r="B147" t="s">
        <v>78</v>
      </c>
      <c r="C147" t="s">
        <v>42</v>
      </c>
      <c r="D147" s="6">
        <v>10</v>
      </c>
      <c r="E147" s="1">
        <v>1.47E-4</v>
      </c>
      <c r="F147" s="3">
        <v>0.1</v>
      </c>
      <c r="G147">
        <v>3.95</v>
      </c>
      <c r="H147" s="9">
        <v>345</v>
      </c>
      <c r="I147" s="7">
        <v>50</v>
      </c>
      <c r="J147">
        <v>0.05</v>
      </c>
      <c r="K147">
        <v>400</v>
      </c>
      <c r="M147">
        <v>64</v>
      </c>
      <c r="N147" t="s">
        <v>12</v>
      </c>
      <c r="O147" t="s">
        <v>13</v>
      </c>
      <c r="P147">
        <v>5985170.2180000003</v>
      </c>
      <c r="Q147">
        <v>5985167.4819999998</v>
      </c>
      <c r="R147" s="2">
        <f t="shared" si="2"/>
        <v>5.1476751902192045E-8</v>
      </c>
    </row>
    <row r="148" spans="1:20" x14ac:dyDescent="0.25">
      <c r="A148" t="s">
        <v>69</v>
      </c>
      <c r="B148" t="s">
        <v>78</v>
      </c>
      <c r="C148" t="s">
        <v>42</v>
      </c>
      <c r="D148" s="6">
        <v>11</v>
      </c>
      <c r="E148" s="1">
        <v>1.47E-4</v>
      </c>
      <c r="F148" s="3">
        <v>0.1</v>
      </c>
      <c r="G148">
        <v>3.95</v>
      </c>
      <c r="H148" s="9">
        <v>345</v>
      </c>
      <c r="I148" s="7">
        <v>150</v>
      </c>
      <c r="J148">
        <v>0.15</v>
      </c>
      <c r="K148">
        <v>400</v>
      </c>
      <c r="M148">
        <v>64</v>
      </c>
      <c r="N148" t="s">
        <v>12</v>
      </c>
      <c r="O148" t="s">
        <v>13</v>
      </c>
      <c r="P148">
        <v>5985167.4819999998</v>
      </c>
      <c r="Q148">
        <v>5985155.8210000005</v>
      </c>
      <c r="R148" s="2">
        <f t="shared" si="2"/>
        <v>2.193970774086651E-7</v>
      </c>
    </row>
    <row r="149" spans="1:20" x14ac:dyDescent="0.25">
      <c r="A149" t="s">
        <v>69</v>
      </c>
      <c r="B149" t="s">
        <v>78</v>
      </c>
      <c r="C149" t="s">
        <v>42</v>
      </c>
      <c r="D149" s="6">
        <v>12</v>
      </c>
      <c r="E149" s="1">
        <v>1.47E-4</v>
      </c>
      <c r="F149" s="4">
        <v>0.05</v>
      </c>
      <c r="G149">
        <v>2.11</v>
      </c>
      <c r="H149" s="9">
        <v>345</v>
      </c>
      <c r="I149" s="7">
        <v>0</v>
      </c>
      <c r="J149">
        <v>0</v>
      </c>
      <c r="K149">
        <v>400</v>
      </c>
      <c r="M149">
        <v>64</v>
      </c>
      <c r="N149" t="s">
        <v>12</v>
      </c>
      <c r="O149" t="s">
        <v>13</v>
      </c>
      <c r="P149">
        <v>5985155.5329999998</v>
      </c>
      <c r="Q149">
        <v>5985151.3590000002</v>
      </c>
      <c r="R149" s="2">
        <f t="shared" si="2"/>
        <v>7.8532149993611551E-8</v>
      </c>
    </row>
    <row r="150" spans="1:20" x14ac:dyDescent="0.25">
      <c r="A150" t="s">
        <v>69</v>
      </c>
      <c r="B150" t="s">
        <v>78</v>
      </c>
      <c r="C150" t="s">
        <v>42</v>
      </c>
      <c r="D150" s="6">
        <v>13</v>
      </c>
      <c r="E150" s="1">
        <v>1.47E-4</v>
      </c>
      <c r="F150" s="4">
        <v>0.05</v>
      </c>
      <c r="G150">
        <v>2.11</v>
      </c>
      <c r="H150" s="9">
        <v>345</v>
      </c>
      <c r="I150" s="7">
        <v>250</v>
      </c>
      <c r="J150">
        <v>0.25</v>
      </c>
      <c r="K150">
        <v>400</v>
      </c>
      <c r="M150">
        <v>64</v>
      </c>
      <c r="N150" t="s">
        <v>12</v>
      </c>
      <c r="O150" t="s">
        <v>13</v>
      </c>
      <c r="P150">
        <v>5985151.3590000002</v>
      </c>
      <c r="Q150">
        <v>5985130.3399999999</v>
      </c>
      <c r="R150" s="2">
        <f t="shared" si="2"/>
        <v>3.9546412574972776E-7</v>
      </c>
    </row>
    <row r="151" spans="1:20" x14ac:dyDescent="0.25">
      <c r="A151" t="s">
        <v>69</v>
      </c>
      <c r="B151" t="s">
        <v>78</v>
      </c>
      <c r="C151" t="s">
        <v>42</v>
      </c>
      <c r="D151" s="6">
        <v>14</v>
      </c>
      <c r="E151" s="1">
        <v>1.47E-4</v>
      </c>
      <c r="F151" s="4">
        <v>0.05</v>
      </c>
      <c r="G151">
        <v>2.11</v>
      </c>
      <c r="H151" s="9">
        <v>345</v>
      </c>
      <c r="I151" s="7">
        <v>100</v>
      </c>
      <c r="J151">
        <v>0.1</v>
      </c>
      <c r="K151">
        <v>400</v>
      </c>
      <c r="M151">
        <v>64</v>
      </c>
      <c r="N151" t="s">
        <v>12</v>
      </c>
      <c r="O151" t="s">
        <v>13</v>
      </c>
      <c r="P151">
        <v>5985130.3399999999</v>
      </c>
      <c r="Q151">
        <v>5985121.5580000002</v>
      </c>
      <c r="R151" s="2">
        <f t="shared" si="2"/>
        <v>1.6522983739215174E-7</v>
      </c>
    </row>
    <row r="152" spans="1:20" x14ac:dyDescent="0.25">
      <c r="A152" t="s">
        <v>69</v>
      </c>
      <c r="B152" t="s">
        <v>78</v>
      </c>
      <c r="C152" t="s">
        <v>42</v>
      </c>
      <c r="D152" s="6">
        <v>15</v>
      </c>
      <c r="E152" s="1">
        <v>1.47E-4</v>
      </c>
      <c r="F152" s="4">
        <v>0.05</v>
      </c>
      <c r="G152">
        <v>2.11</v>
      </c>
      <c r="H152" s="9">
        <v>345</v>
      </c>
      <c r="I152" s="7">
        <v>200</v>
      </c>
      <c r="J152">
        <v>0.2</v>
      </c>
      <c r="K152">
        <v>400</v>
      </c>
      <c r="M152">
        <v>64</v>
      </c>
      <c r="N152" t="s">
        <v>12</v>
      </c>
      <c r="O152" t="s">
        <v>13</v>
      </c>
      <c r="P152">
        <v>5985121.5580000002</v>
      </c>
      <c r="Q152">
        <v>5985104.1390000004</v>
      </c>
      <c r="R152" s="2">
        <f t="shared" si="2"/>
        <v>3.2773155745921427E-7</v>
      </c>
    </row>
    <row r="153" spans="1:20" x14ac:dyDescent="0.25">
      <c r="A153" t="s">
        <v>69</v>
      </c>
      <c r="B153" t="s">
        <v>78</v>
      </c>
      <c r="C153" t="s">
        <v>42</v>
      </c>
      <c r="D153" s="6">
        <v>16</v>
      </c>
      <c r="E153" s="1">
        <v>1.47E-4</v>
      </c>
      <c r="F153" s="4">
        <v>0.05</v>
      </c>
      <c r="G153">
        <v>2.11</v>
      </c>
      <c r="H153" s="9">
        <v>345</v>
      </c>
      <c r="I153" s="7">
        <v>50</v>
      </c>
      <c r="J153">
        <v>0.05</v>
      </c>
      <c r="K153">
        <v>400</v>
      </c>
      <c r="M153">
        <v>64</v>
      </c>
      <c r="N153" t="s">
        <v>12</v>
      </c>
      <c r="O153" t="s">
        <v>13</v>
      </c>
      <c r="P153">
        <v>5985104.1390000004</v>
      </c>
      <c r="Q153">
        <v>5985100.8279999997</v>
      </c>
      <c r="R153" s="2">
        <f t="shared" si="2"/>
        <v>6.2295148228196536E-8</v>
      </c>
    </row>
    <row r="154" spans="1:20" x14ac:dyDescent="0.25">
      <c r="A154" t="s">
        <v>69</v>
      </c>
      <c r="B154" t="s">
        <v>78</v>
      </c>
      <c r="C154" t="s">
        <v>42</v>
      </c>
      <c r="D154" s="6">
        <v>17</v>
      </c>
      <c r="E154" s="1">
        <v>1.47E-4</v>
      </c>
      <c r="F154" s="4">
        <v>0.05</v>
      </c>
      <c r="G154">
        <v>2.11</v>
      </c>
      <c r="H154" s="9">
        <v>345</v>
      </c>
      <c r="I154" s="7">
        <v>150</v>
      </c>
      <c r="J154">
        <v>0.15</v>
      </c>
      <c r="K154">
        <v>400</v>
      </c>
      <c r="M154">
        <v>64</v>
      </c>
      <c r="N154" t="s">
        <v>12</v>
      </c>
      <c r="O154" t="s">
        <v>13</v>
      </c>
      <c r="P154">
        <v>5985100.8279999997</v>
      </c>
      <c r="Q154">
        <v>5985088.3030000003</v>
      </c>
      <c r="R154" s="2">
        <f t="shared" si="2"/>
        <v>2.3565289379698654E-7</v>
      </c>
    </row>
    <row r="155" spans="1:20" x14ac:dyDescent="0.25">
      <c r="A155" t="s">
        <v>69</v>
      </c>
      <c r="B155" t="s">
        <v>78</v>
      </c>
      <c r="C155" t="s">
        <v>42</v>
      </c>
      <c r="D155" s="6">
        <v>18</v>
      </c>
      <c r="E155" s="1">
        <v>1.47E-4</v>
      </c>
      <c r="F155" s="5">
        <v>0.2</v>
      </c>
      <c r="G155">
        <v>8.1</v>
      </c>
      <c r="H155" s="9">
        <v>345</v>
      </c>
      <c r="I155" s="7">
        <v>0</v>
      </c>
      <c r="J155">
        <v>0</v>
      </c>
      <c r="K155">
        <v>400</v>
      </c>
      <c r="M155">
        <v>64</v>
      </c>
      <c r="N155" t="s">
        <v>12</v>
      </c>
      <c r="O155" t="s">
        <v>13</v>
      </c>
      <c r="P155">
        <v>5985087.7280000001</v>
      </c>
      <c r="Q155">
        <v>5985084.5599999996</v>
      </c>
      <c r="R155" s="2">
        <f t="shared" si="2"/>
        <v>5.9604660096352758E-8</v>
      </c>
      <c r="T155" t="s">
        <v>71</v>
      </c>
    </row>
    <row r="156" spans="1:20" x14ac:dyDescent="0.25">
      <c r="A156" t="s">
        <v>69</v>
      </c>
      <c r="B156" t="s">
        <v>78</v>
      </c>
      <c r="C156" t="s">
        <v>42</v>
      </c>
      <c r="D156" s="6">
        <v>19</v>
      </c>
      <c r="E156" s="1">
        <v>1.47E-4</v>
      </c>
      <c r="F156" s="5">
        <v>0.2</v>
      </c>
      <c r="G156">
        <v>8.1</v>
      </c>
      <c r="H156" s="9">
        <v>345</v>
      </c>
      <c r="I156" s="7">
        <v>250</v>
      </c>
      <c r="J156">
        <v>0.25</v>
      </c>
      <c r="K156">
        <v>400</v>
      </c>
      <c r="M156">
        <v>64</v>
      </c>
      <c r="N156" t="s">
        <v>12</v>
      </c>
      <c r="O156" t="s">
        <v>13</v>
      </c>
      <c r="P156">
        <v>5985084.5599999996</v>
      </c>
      <c r="Q156">
        <v>5985065.7019999996</v>
      </c>
      <c r="R156" s="2">
        <f t="shared" si="2"/>
        <v>3.5480577017354021E-7</v>
      </c>
    </row>
    <row r="157" spans="1:20" x14ac:dyDescent="0.25">
      <c r="A157" t="s">
        <v>69</v>
      </c>
      <c r="B157" t="s">
        <v>78</v>
      </c>
      <c r="C157" t="s">
        <v>42</v>
      </c>
      <c r="D157" s="6">
        <v>20</v>
      </c>
      <c r="E157" s="1">
        <v>1.47E-4</v>
      </c>
      <c r="F157" s="5">
        <v>0.2</v>
      </c>
      <c r="G157">
        <v>8.1</v>
      </c>
      <c r="H157" s="9">
        <v>345</v>
      </c>
      <c r="I157" s="7">
        <v>100</v>
      </c>
      <c r="J157">
        <v>0.1</v>
      </c>
      <c r="K157">
        <v>400</v>
      </c>
      <c r="M157">
        <v>64</v>
      </c>
      <c r="N157" t="s">
        <v>12</v>
      </c>
      <c r="O157" t="s">
        <v>13</v>
      </c>
      <c r="P157">
        <v>5985065.7019999996</v>
      </c>
      <c r="Q157">
        <v>5985058.216</v>
      </c>
      <c r="R157" s="2">
        <f t="shared" si="2"/>
        <v>1.4084611280966958E-7</v>
      </c>
    </row>
    <row r="158" spans="1:20" x14ac:dyDescent="0.25">
      <c r="A158" t="s">
        <v>69</v>
      </c>
      <c r="B158" t="s">
        <v>78</v>
      </c>
      <c r="C158" t="s">
        <v>42</v>
      </c>
      <c r="D158" s="6">
        <v>21</v>
      </c>
      <c r="E158" s="1">
        <v>1.47E-4</v>
      </c>
      <c r="F158" s="5">
        <v>0.2</v>
      </c>
      <c r="G158">
        <v>8.1</v>
      </c>
      <c r="H158" s="9">
        <v>345</v>
      </c>
      <c r="I158" s="7">
        <v>200</v>
      </c>
      <c r="J158">
        <v>0.2</v>
      </c>
      <c r="K158">
        <v>400</v>
      </c>
      <c r="M158">
        <v>64</v>
      </c>
      <c r="N158" t="s">
        <v>12</v>
      </c>
      <c r="O158" t="s">
        <v>13</v>
      </c>
      <c r="P158">
        <v>5985058.216</v>
      </c>
      <c r="Q158">
        <v>5985043.3880000003</v>
      </c>
      <c r="R158" s="2">
        <f t="shared" si="2"/>
        <v>2.7898292289963389E-7</v>
      </c>
    </row>
    <row r="159" spans="1:20" x14ac:dyDescent="0.25">
      <c r="A159" t="s">
        <v>69</v>
      </c>
      <c r="B159" t="s">
        <v>78</v>
      </c>
      <c r="C159" t="s">
        <v>42</v>
      </c>
      <c r="D159" s="6">
        <v>22</v>
      </c>
      <c r="E159" s="1">
        <v>1.47E-4</v>
      </c>
      <c r="F159" s="5">
        <v>0.2</v>
      </c>
      <c r="G159">
        <v>8.1</v>
      </c>
      <c r="H159" s="9">
        <v>345</v>
      </c>
      <c r="I159" s="7">
        <v>50</v>
      </c>
      <c r="J159">
        <v>0.05</v>
      </c>
      <c r="K159">
        <v>400</v>
      </c>
      <c r="M159">
        <v>64</v>
      </c>
      <c r="N159" t="s">
        <v>12</v>
      </c>
      <c r="O159" t="s">
        <v>13</v>
      </c>
      <c r="P159">
        <v>5985043.3880000003</v>
      </c>
      <c r="Q159">
        <v>5985040.7970000003</v>
      </c>
      <c r="R159" s="2">
        <f t="shared" si="2"/>
        <v>4.8748634559580363E-8</v>
      </c>
    </row>
    <row r="160" spans="1:20" x14ac:dyDescent="0.25">
      <c r="A160" t="s">
        <v>69</v>
      </c>
      <c r="B160" t="s">
        <v>78</v>
      </c>
      <c r="C160" t="s">
        <v>42</v>
      </c>
      <c r="D160" s="6">
        <v>23</v>
      </c>
      <c r="E160" s="1">
        <v>1.47E-4</v>
      </c>
      <c r="F160" s="5">
        <v>0.2</v>
      </c>
      <c r="G160">
        <v>8.1</v>
      </c>
      <c r="H160" s="9">
        <v>345</v>
      </c>
      <c r="I160" s="7">
        <v>150</v>
      </c>
      <c r="J160">
        <v>0.15</v>
      </c>
      <c r="K160">
        <v>400</v>
      </c>
      <c r="M160">
        <v>64</v>
      </c>
      <c r="N160" t="s">
        <v>12</v>
      </c>
      <c r="O160" t="s">
        <v>13</v>
      </c>
      <c r="P160">
        <v>5985040.7970000003</v>
      </c>
      <c r="Q160">
        <v>5985030</v>
      </c>
      <c r="R160" s="2">
        <f t="shared" si="2"/>
        <v>2.031412610378661E-7</v>
      </c>
      <c r="T160" t="s">
        <v>72</v>
      </c>
    </row>
    <row r="161" spans="1:20" x14ac:dyDescent="0.25">
      <c r="A161" t="s">
        <v>69</v>
      </c>
      <c r="B161" t="s">
        <v>78</v>
      </c>
      <c r="C161" t="s">
        <v>42</v>
      </c>
      <c r="D161" s="6">
        <v>24</v>
      </c>
      <c r="E161" s="1">
        <v>1.47E-4</v>
      </c>
      <c r="F161" s="5">
        <v>0.3</v>
      </c>
      <c r="G161">
        <v>12.8</v>
      </c>
      <c r="H161" s="9">
        <v>345</v>
      </c>
      <c r="I161" s="7">
        <v>0</v>
      </c>
      <c r="J161">
        <v>0</v>
      </c>
      <c r="K161">
        <v>400</v>
      </c>
      <c r="M161">
        <v>64</v>
      </c>
      <c r="N161" t="s">
        <v>12</v>
      </c>
      <c r="O161" t="s">
        <v>13</v>
      </c>
      <c r="P161">
        <v>5985029.7120000003</v>
      </c>
      <c r="Q161">
        <v>5985026.4009999996</v>
      </c>
      <c r="R161" s="2">
        <f t="shared" si="2"/>
        <v>6.2295148228196536E-8</v>
      </c>
      <c r="T161" t="s">
        <v>73</v>
      </c>
    </row>
    <row r="162" spans="1:20" x14ac:dyDescent="0.25">
      <c r="A162" t="s">
        <v>69</v>
      </c>
      <c r="B162" t="s">
        <v>78</v>
      </c>
      <c r="C162" t="s">
        <v>42</v>
      </c>
      <c r="D162" s="6">
        <v>25</v>
      </c>
      <c r="E162" s="1">
        <v>1.47E-4</v>
      </c>
      <c r="F162" s="5">
        <v>0.3</v>
      </c>
      <c r="G162">
        <v>12.8</v>
      </c>
      <c r="H162" s="9">
        <v>345</v>
      </c>
      <c r="I162" s="7">
        <v>250</v>
      </c>
      <c r="J162">
        <v>0.25</v>
      </c>
      <c r="K162">
        <v>400</v>
      </c>
      <c r="M162">
        <v>64</v>
      </c>
      <c r="N162" t="s">
        <v>12</v>
      </c>
      <c r="O162" t="s">
        <v>13</v>
      </c>
      <c r="P162">
        <v>5985026.4009999996</v>
      </c>
      <c r="Q162">
        <v>5985008.8389999997</v>
      </c>
      <c r="R162" s="2">
        <f t="shared" si="2"/>
        <v>3.3042204559105803E-7</v>
      </c>
    </row>
    <row r="163" spans="1:20" x14ac:dyDescent="0.25">
      <c r="A163" t="s">
        <v>69</v>
      </c>
      <c r="B163" t="s">
        <v>78</v>
      </c>
      <c r="C163" t="s">
        <v>42</v>
      </c>
      <c r="D163" s="6">
        <v>26</v>
      </c>
      <c r="E163" s="1">
        <v>1.47E-4</v>
      </c>
      <c r="F163" s="5">
        <v>0.3</v>
      </c>
      <c r="G163">
        <v>12.8</v>
      </c>
      <c r="H163" s="9">
        <v>345</v>
      </c>
      <c r="I163" s="7">
        <v>100</v>
      </c>
      <c r="J163">
        <v>0.1</v>
      </c>
      <c r="K163">
        <v>400</v>
      </c>
      <c r="M163">
        <v>64</v>
      </c>
      <c r="N163" t="s">
        <v>12</v>
      </c>
      <c r="O163" t="s">
        <v>13</v>
      </c>
      <c r="P163">
        <v>5985008.8389999997</v>
      </c>
      <c r="Q163">
        <v>5985002.9359999998</v>
      </c>
      <c r="R163" s="2">
        <f t="shared" si="2"/>
        <v>1.1106259737563839E-7</v>
      </c>
    </row>
    <row r="164" spans="1:20" x14ac:dyDescent="0.25">
      <c r="A164" t="s">
        <v>69</v>
      </c>
      <c r="B164" t="s">
        <v>78</v>
      </c>
      <c r="C164" t="s">
        <v>42</v>
      </c>
      <c r="D164" s="6">
        <v>27</v>
      </c>
      <c r="E164" s="1">
        <v>1.47E-4</v>
      </c>
      <c r="F164" s="5">
        <v>0.3</v>
      </c>
      <c r="G164">
        <v>12.8</v>
      </c>
      <c r="H164" s="9">
        <v>345</v>
      </c>
      <c r="I164" s="7">
        <v>200</v>
      </c>
      <c r="J164">
        <v>0.2</v>
      </c>
      <c r="K164">
        <v>400</v>
      </c>
      <c r="M164">
        <v>64</v>
      </c>
      <c r="N164" t="s">
        <v>12</v>
      </c>
      <c r="O164" t="s">
        <v>13</v>
      </c>
      <c r="P164">
        <v>5985002.9359999998</v>
      </c>
      <c r="Q164">
        <v>5984989.2609999999</v>
      </c>
      <c r="R164" s="2">
        <f t="shared" si="2"/>
        <v>2.5728968644899551E-7</v>
      </c>
    </row>
    <row r="165" spans="1:20" x14ac:dyDescent="0.25">
      <c r="A165" t="s">
        <v>69</v>
      </c>
      <c r="B165" t="s">
        <v>78</v>
      </c>
      <c r="C165" t="s">
        <v>42</v>
      </c>
      <c r="D165" s="6">
        <v>28</v>
      </c>
      <c r="E165" s="1">
        <v>1.47E-4</v>
      </c>
      <c r="F165" s="5">
        <v>0.3</v>
      </c>
      <c r="G165">
        <v>12.8</v>
      </c>
      <c r="H165" s="9">
        <v>345</v>
      </c>
      <c r="I165" s="7">
        <v>50</v>
      </c>
      <c r="J165">
        <v>0.05</v>
      </c>
      <c r="K165">
        <v>400</v>
      </c>
      <c r="M165">
        <v>64</v>
      </c>
      <c r="N165" t="s">
        <v>12</v>
      </c>
      <c r="O165" t="s">
        <v>13</v>
      </c>
      <c r="P165">
        <v>5984989.2609999999</v>
      </c>
      <c r="Q165">
        <v>5984986.9570000004</v>
      </c>
      <c r="R165" s="2">
        <f t="shared" si="2"/>
        <v>4.3348843690508862E-8</v>
      </c>
    </row>
    <row r="166" spans="1:20" x14ac:dyDescent="0.25">
      <c r="A166" t="s">
        <v>69</v>
      </c>
      <c r="B166" t="s">
        <v>78</v>
      </c>
      <c r="C166" t="s">
        <v>42</v>
      </c>
      <c r="D166" s="6">
        <v>29</v>
      </c>
      <c r="E166" s="1">
        <v>1.47E-4</v>
      </c>
      <c r="F166" s="5">
        <v>0.3</v>
      </c>
      <c r="G166">
        <v>12.8</v>
      </c>
      <c r="H166" s="9">
        <v>345</v>
      </c>
      <c r="I166" s="7">
        <v>150</v>
      </c>
      <c r="J166">
        <v>0.15</v>
      </c>
      <c r="K166">
        <v>400</v>
      </c>
      <c r="M166">
        <v>64</v>
      </c>
      <c r="N166" t="s">
        <v>12</v>
      </c>
      <c r="O166" t="s">
        <v>13</v>
      </c>
      <c r="P166">
        <v>5984986.9570000004</v>
      </c>
      <c r="Q166">
        <v>5984977.5999999996</v>
      </c>
      <c r="R166" s="2">
        <f t="shared" si="2"/>
        <v>1.760482337356787E-7</v>
      </c>
      <c r="T166" t="s">
        <v>74</v>
      </c>
    </row>
    <row r="167" spans="1:20" x14ac:dyDescent="0.25">
      <c r="A167" t="s">
        <v>69</v>
      </c>
      <c r="B167" t="s">
        <v>78</v>
      </c>
      <c r="C167" t="s">
        <v>42</v>
      </c>
      <c r="D167" s="6">
        <v>30</v>
      </c>
      <c r="E167" s="1">
        <v>1.47E-4</v>
      </c>
      <c r="F167" s="5">
        <v>7.4999999999999997E-2</v>
      </c>
      <c r="G167">
        <v>3</v>
      </c>
      <c r="H167" s="9">
        <v>345</v>
      </c>
      <c r="I167" s="7">
        <v>0</v>
      </c>
      <c r="J167">
        <v>0</v>
      </c>
      <c r="K167">
        <v>400</v>
      </c>
      <c r="M167">
        <v>64</v>
      </c>
      <c r="N167" t="s">
        <v>12</v>
      </c>
      <c r="O167" t="s">
        <v>13</v>
      </c>
      <c r="P167">
        <v>5984977.1679999996</v>
      </c>
      <c r="Q167">
        <v>5984972.9939999999</v>
      </c>
      <c r="R167" s="2">
        <f t="shared" si="2"/>
        <v>7.8532149993611551E-8</v>
      </c>
      <c r="T167" t="s">
        <v>75</v>
      </c>
    </row>
    <row r="168" spans="1:20" x14ac:dyDescent="0.25">
      <c r="A168" t="s">
        <v>69</v>
      </c>
      <c r="B168" t="s">
        <v>78</v>
      </c>
      <c r="C168" t="s">
        <v>42</v>
      </c>
      <c r="D168" s="6">
        <v>31</v>
      </c>
      <c r="E168" s="1">
        <v>1.47E-4</v>
      </c>
      <c r="F168" s="5">
        <v>7.4999999999999997E-2</v>
      </c>
      <c r="G168">
        <v>3</v>
      </c>
      <c r="H168" s="9">
        <v>345</v>
      </c>
      <c r="I168" s="7">
        <v>250</v>
      </c>
      <c r="J168">
        <v>0.25</v>
      </c>
      <c r="K168">
        <v>400</v>
      </c>
      <c r="M168">
        <v>64</v>
      </c>
      <c r="N168" t="s">
        <v>12</v>
      </c>
      <c r="O168" t="s">
        <v>13</v>
      </c>
      <c r="P168">
        <v>5984972.9939999999</v>
      </c>
      <c r="Q168">
        <v>5984951.5449999999</v>
      </c>
      <c r="R168" s="2">
        <f t="shared" si="2"/>
        <v>4.0355440473312054E-7</v>
      </c>
    </row>
    <row r="169" spans="1:20" x14ac:dyDescent="0.25">
      <c r="A169" t="s">
        <v>69</v>
      </c>
      <c r="B169" t="s">
        <v>78</v>
      </c>
      <c r="C169" t="s">
        <v>42</v>
      </c>
      <c r="D169" s="6">
        <v>32</v>
      </c>
      <c r="E169" s="1">
        <v>1.47E-4</v>
      </c>
      <c r="F169" s="5">
        <v>7.4999999999999997E-2</v>
      </c>
      <c r="G169">
        <v>3</v>
      </c>
      <c r="H169" s="9">
        <v>345</v>
      </c>
      <c r="I169" s="7">
        <v>100</v>
      </c>
      <c r="J169">
        <v>0.1</v>
      </c>
      <c r="K169">
        <v>400</v>
      </c>
      <c r="M169">
        <v>64</v>
      </c>
      <c r="N169" t="s">
        <v>12</v>
      </c>
      <c r="O169" t="s">
        <v>13</v>
      </c>
      <c r="P169">
        <v>5984951.5449999999</v>
      </c>
      <c r="Q169">
        <v>5984942.9069999997</v>
      </c>
      <c r="R169" s="2">
        <f t="shared" si="2"/>
        <v>1.6252053467244647E-7</v>
      </c>
      <c r="T169" t="s">
        <v>76</v>
      </c>
    </row>
    <row r="170" spans="1:20" x14ac:dyDescent="0.25">
      <c r="A170" t="s">
        <v>69</v>
      </c>
      <c r="B170" t="s">
        <v>78</v>
      </c>
      <c r="C170" t="s">
        <v>42</v>
      </c>
      <c r="D170" s="6">
        <v>33</v>
      </c>
      <c r="E170" s="1">
        <v>1.47E-4</v>
      </c>
      <c r="F170" s="5">
        <v>7.4999999999999997E-2</v>
      </c>
      <c r="G170">
        <v>3</v>
      </c>
      <c r="H170" s="9">
        <v>345</v>
      </c>
      <c r="I170" s="7">
        <v>200</v>
      </c>
      <c r="J170">
        <v>0.2</v>
      </c>
      <c r="K170">
        <v>400</v>
      </c>
      <c r="M170">
        <v>64</v>
      </c>
      <c r="N170" t="s">
        <v>12</v>
      </c>
      <c r="O170" t="s">
        <v>13</v>
      </c>
      <c r="P170">
        <v>5984942.9069999997</v>
      </c>
      <c r="Q170">
        <v>5984924.9129999997</v>
      </c>
      <c r="R170" s="2">
        <f t="shared" si="2"/>
        <v>3.3854995378521877E-7</v>
      </c>
    </row>
    <row r="171" spans="1:20" x14ac:dyDescent="0.25">
      <c r="A171" t="s">
        <v>69</v>
      </c>
      <c r="B171" t="s">
        <v>78</v>
      </c>
      <c r="C171" t="s">
        <v>42</v>
      </c>
      <c r="D171" s="6">
        <v>34</v>
      </c>
      <c r="E171" s="1">
        <v>1.47E-4</v>
      </c>
      <c r="F171" s="5">
        <v>7.4999999999999997E-2</v>
      </c>
      <c r="G171">
        <v>3</v>
      </c>
      <c r="H171" s="9">
        <v>345</v>
      </c>
      <c r="I171" s="7">
        <v>50</v>
      </c>
      <c r="J171">
        <v>0.05</v>
      </c>
      <c r="K171">
        <v>400</v>
      </c>
      <c r="M171">
        <v>64</v>
      </c>
      <c r="N171" t="s">
        <v>12</v>
      </c>
      <c r="O171" t="s">
        <v>13</v>
      </c>
      <c r="P171">
        <v>5984924.9129999997</v>
      </c>
      <c r="Q171">
        <v>5984922.466</v>
      </c>
      <c r="R171" s="2">
        <f t="shared" si="2"/>
        <v>4.6039331822352633E-8</v>
      </c>
    </row>
    <row r="172" spans="1:20" x14ac:dyDescent="0.25">
      <c r="A172" t="s">
        <v>69</v>
      </c>
      <c r="B172" t="s">
        <v>78</v>
      </c>
      <c r="C172" t="s">
        <v>42</v>
      </c>
      <c r="D172" s="6">
        <v>35</v>
      </c>
      <c r="E172" s="1">
        <v>1.47E-4</v>
      </c>
      <c r="F172" s="5">
        <v>7.4999999999999997E-2</v>
      </c>
      <c r="G172">
        <v>3</v>
      </c>
      <c r="H172" s="9">
        <v>345</v>
      </c>
      <c r="I172" s="7">
        <v>150</v>
      </c>
      <c r="J172">
        <v>0.15</v>
      </c>
      <c r="K172">
        <v>400</v>
      </c>
      <c r="M172">
        <v>64</v>
      </c>
      <c r="N172" t="s">
        <v>12</v>
      </c>
      <c r="O172" t="s">
        <v>13</v>
      </c>
      <c r="P172">
        <v>5984922.466</v>
      </c>
      <c r="Q172">
        <v>5984909.6540000001</v>
      </c>
      <c r="R172" s="2">
        <f t="shared" si="2"/>
        <v>2.4105268466605806E-7</v>
      </c>
      <c r="T172" t="s">
        <v>77</v>
      </c>
    </row>
    <row r="173" spans="1:20" x14ac:dyDescent="0.25">
      <c r="A173" t="s">
        <v>69</v>
      </c>
      <c r="B173" t="s">
        <v>78</v>
      </c>
      <c r="C173" t="s">
        <v>42</v>
      </c>
      <c r="D173" s="6">
        <v>36</v>
      </c>
      <c r="E173" s="1">
        <v>1.47E-4</v>
      </c>
      <c r="F173" s="5">
        <v>2.5000000000000001E-2</v>
      </c>
      <c r="G173">
        <v>1.35</v>
      </c>
      <c r="H173" s="9">
        <v>345</v>
      </c>
      <c r="I173" s="7">
        <v>0</v>
      </c>
      <c r="J173">
        <v>0</v>
      </c>
      <c r="K173">
        <v>400</v>
      </c>
      <c r="M173">
        <v>64</v>
      </c>
      <c r="N173" t="s">
        <v>12</v>
      </c>
      <c r="O173" t="s">
        <v>13</v>
      </c>
      <c r="P173">
        <v>5984908.9349999996</v>
      </c>
      <c r="Q173">
        <v>5984904.1840000004</v>
      </c>
      <c r="R173" s="2">
        <f t="shared" si="2"/>
        <v>8.9388175512861488E-8</v>
      </c>
    </row>
    <row r="174" spans="1:20" x14ac:dyDescent="0.25">
      <c r="A174" t="s">
        <v>69</v>
      </c>
      <c r="B174" t="s">
        <v>78</v>
      </c>
      <c r="C174" t="s">
        <v>42</v>
      </c>
      <c r="D174" s="6">
        <v>37</v>
      </c>
      <c r="E174" s="1">
        <v>1.47E-4</v>
      </c>
      <c r="F174" s="5">
        <v>2.5000000000000001E-2</v>
      </c>
      <c r="G174">
        <v>1.35</v>
      </c>
      <c r="H174" s="9">
        <v>345</v>
      </c>
      <c r="I174" s="7">
        <v>250</v>
      </c>
      <c r="J174">
        <v>0.25</v>
      </c>
      <c r="K174">
        <v>400</v>
      </c>
      <c r="M174">
        <v>64</v>
      </c>
      <c r="N174" t="s">
        <v>12</v>
      </c>
      <c r="O174" t="s">
        <v>13</v>
      </c>
      <c r="P174">
        <v>5984904.1840000004</v>
      </c>
      <c r="Q174">
        <v>5984882.4479999999</v>
      </c>
      <c r="R174" s="2">
        <f>0.0000000188146023 * ( P174 - Q174 )</f>
        <v>4.0895419560219208E-7</v>
      </c>
    </row>
    <row r="175" spans="1:20" x14ac:dyDescent="0.25">
      <c r="A175" t="s">
        <v>69</v>
      </c>
      <c r="B175" t="s">
        <v>78</v>
      </c>
      <c r="C175" t="s">
        <v>42</v>
      </c>
      <c r="D175" s="6">
        <v>38</v>
      </c>
      <c r="E175" s="1">
        <v>1.47E-4</v>
      </c>
      <c r="F175" s="5">
        <v>2.5000000000000001E-2</v>
      </c>
      <c r="G175">
        <v>1.35</v>
      </c>
      <c r="H175" s="9">
        <v>345</v>
      </c>
      <c r="I175" s="7">
        <v>100</v>
      </c>
      <c r="J175">
        <v>0.1</v>
      </c>
      <c r="K175">
        <v>400</v>
      </c>
      <c r="M175">
        <v>64</v>
      </c>
      <c r="N175" t="s">
        <v>12</v>
      </c>
      <c r="O175" t="s">
        <v>13</v>
      </c>
      <c r="P175">
        <v>5984881.1519999998</v>
      </c>
      <c r="Q175">
        <v>5984871.5080000004</v>
      </c>
      <c r="R175" s="2">
        <f t="shared" si="2"/>
        <v>1.8144802456970526E-7</v>
      </c>
    </row>
    <row r="176" spans="1:20" x14ac:dyDescent="0.25">
      <c r="A176" t="s">
        <v>69</v>
      </c>
      <c r="B176" t="s">
        <v>78</v>
      </c>
      <c r="C176" t="s">
        <v>42</v>
      </c>
      <c r="D176" s="6">
        <v>39</v>
      </c>
      <c r="E176" s="1">
        <v>1.47E-4</v>
      </c>
      <c r="F176" s="5">
        <v>2.5000000000000001E-2</v>
      </c>
      <c r="G176">
        <v>1.35</v>
      </c>
      <c r="H176" s="9">
        <v>345</v>
      </c>
      <c r="I176" s="7">
        <v>200</v>
      </c>
      <c r="J176">
        <v>0.2</v>
      </c>
      <c r="K176">
        <v>400</v>
      </c>
      <c r="M176">
        <v>64</v>
      </c>
      <c r="N176" t="s">
        <v>12</v>
      </c>
      <c r="O176" t="s">
        <v>13</v>
      </c>
      <c r="P176">
        <v>5984870.932</v>
      </c>
      <c r="Q176">
        <v>5984851.7869999995</v>
      </c>
      <c r="R176" s="2">
        <f t="shared" si="2"/>
        <v>3.602055610426117E-7</v>
      </c>
    </row>
    <row r="177" spans="1:20" x14ac:dyDescent="0.25">
      <c r="A177" t="s">
        <v>69</v>
      </c>
      <c r="B177" t="s">
        <v>78</v>
      </c>
      <c r="C177" t="s">
        <v>42</v>
      </c>
      <c r="D177" s="6">
        <v>40</v>
      </c>
      <c r="E177" s="1">
        <v>1.47E-4</v>
      </c>
      <c r="F177" s="5">
        <v>2.5000000000000001E-2</v>
      </c>
      <c r="G177">
        <v>1.35</v>
      </c>
      <c r="H177" s="9">
        <v>345</v>
      </c>
      <c r="I177" s="7">
        <v>50</v>
      </c>
      <c r="J177">
        <v>0.05</v>
      </c>
      <c r="K177">
        <v>400</v>
      </c>
      <c r="M177">
        <v>64</v>
      </c>
      <c r="N177" t="s">
        <v>12</v>
      </c>
      <c r="O177" t="s">
        <v>13</v>
      </c>
      <c r="P177">
        <v>5984851.7869999995</v>
      </c>
      <c r="Q177">
        <v>5984847.9000000004</v>
      </c>
      <c r="R177" s="2">
        <f t="shared" si="2"/>
        <v>7.313235912454005E-8</v>
      </c>
    </row>
    <row r="178" spans="1:20" x14ac:dyDescent="0.25">
      <c r="A178" t="s">
        <v>69</v>
      </c>
      <c r="B178" t="s">
        <v>78</v>
      </c>
      <c r="C178" t="s">
        <v>42</v>
      </c>
      <c r="D178" s="6">
        <v>41</v>
      </c>
      <c r="E178" s="1">
        <v>1.47E-4</v>
      </c>
      <c r="F178" s="5">
        <v>2.5000000000000001E-2</v>
      </c>
      <c r="G178">
        <v>1.35</v>
      </c>
      <c r="H178" s="9">
        <v>345</v>
      </c>
      <c r="I178" s="7">
        <v>150</v>
      </c>
      <c r="J178">
        <v>0.15</v>
      </c>
      <c r="K178">
        <v>400</v>
      </c>
      <c r="M178">
        <v>64</v>
      </c>
      <c r="N178" t="s">
        <v>12</v>
      </c>
      <c r="O178" t="s">
        <v>13</v>
      </c>
      <c r="P178">
        <v>5984847.9000000004</v>
      </c>
      <c r="Q178">
        <v>5984833.7929999996</v>
      </c>
      <c r="R178" s="2">
        <f t="shared" si="2"/>
        <v>2.6541759466067872E-7</v>
      </c>
    </row>
    <row r="179" spans="1:20" x14ac:dyDescent="0.25">
      <c r="R179" s="2">
        <f t="shared" si="2"/>
        <v>0</v>
      </c>
    </row>
    <row r="180" spans="1:20" x14ac:dyDescent="0.25">
      <c r="A180" t="s">
        <v>79</v>
      </c>
      <c r="B180" t="s">
        <v>88</v>
      </c>
      <c r="C180" t="s">
        <v>42</v>
      </c>
      <c r="D180" s="6">
        <v>0</v>
      </c>
      <c r="E180" s="1">
        <v>2.0000000000000002E-5</v>
      </c>
      <c r="F180" s="1">
        <v>2.0000000000000002E-5</v>
      </c>
      <c r="G180">
        <v>0</v>
      </c>
      <c r="H180" s="9">
        <v>1000</v>
      </c>
      <c r="I180" s="7">
        <v>0</v>
      </c>
      <c r="J180">
        <v>0</v>
      </c>
      <c r="K180">
        <v>400</v>
      </c>
      <c r="M180">
        <v>64</v>
      </c>
      <c r="N180" t="s">
        <v>12</v>
      </c>
      <c r="O180" t="s">
        <v>13</v>
      </c>
      <c r="P180">
        <v>5984823.8609999996</v>
      </c>
      <c r="Q180">
        <v>5984817.3830000004</v>
      </c>
      <c r="R180" s="2">
        <f t="shared" si="2"/>
        <v>1.2188099368412041E-7</v>
      </c>
    </row>
    <row r="181" spans="1:20" x14ac:dyDescent="0.25">
      <c r="A181" t="s">
        <v>79</v>
      </c>
      <c r="B181" t="s">
        <v>88</v>
      </c>
      <c r="C181" t="s">
        <v>42</v>
      </c>
      <c r="D181" s="6">
        <v>1</v>
      </c>
      <c r="E181" s="1">
        <v>2.0000000000000002E-5</v>
      </c>
      <c r="F181" s="1">
        <v>2.0000000000000002E-5</v>
      </c>
      <c r="G181">
        <v>0</v>
      </c>
      <c r="H181" s="9">
        <v>1000</v>
      </c>
      <c r="I181" s="7">
        <v>250</v>
      </c>
      <c r="J181">
        <v>0.25</v>
      </c>
      <c r="K181">
        <v>400</v>
      </c>
      <c r="M181">
        <v>64</v>
      </c>
      <c r="N181" t="s">
        <v>12</v>
      </c>
      <c r="O181" t="s">
        <v>13</v>
      </c>
      <c r="P181">
        <v>5984817.3830000004</v>
      </c>
      <c r="Q181">
        <v>5984775.7829999998</v>
      </c>
      <c r="R181" s="2">
        <f t="shared" si="2"/>
        <v>7.826874556905135E-7</v>
      </c>
    </row>
    <row r="182" spans="1:20" x14ac:dyDescent="0.25">
      <c r="A182" t="s">
        <v>79</v>
      </c>
      <c r="B182" t="s">
        <v>88</v>
      </c>
      <c r="C182" t="s">
        <v>42</v>
      </c>
      <c r="D182" s="6">
        <v>2</v>
      </c>
      <c r="E182" s="1">
        <v>2.0000000000000002E-5</v>
      </c>
      <c r="F182" s="1">
        <v>2.0000000000000002E-5</v>
      </c>
      <c r="G182">
        <v>0</v>
      </c>
      <c r="H182" s="9">
        <v>1000</v>
      </c>
      <c r="I182" s="7">
        <v>100</v>
      </c>
      <c r="J182">
        <v>0.1</v>
      </c>
      <c r="K182">
        <v>400</v>
      </c>
      <c r="M182">
        <v>64</v>
      </c>
      <c r="N182" t="s">
        <v>12</v>
      </c>
      <c r="O182" t="s">
        <v>13</v>
      </c>
      <c r="P182">
        <v>5984775.7829999998</v>
      </c>
      <c r="Q182">
        <v>5984757.5020000003</v>
      </c>
      <c r="R182" s="2">
        <f t="shared" si="2"/>
        <v>3.439497446367678E-7</v>
      </c>
    </row>
    <row r="183" spans="1:20" x14ac:dyDescent="0.25">
      <c r="A183" t="s">
        <v>79</v>
      </c>
      <c r="B183" t="s">
        <v>88</v>
      </c>
      <c r="C183" t="s">
        <v>42</v>
      </c>
      <c r="D183" s="6">
        <v>3</v>
      </c>
      <c r="E183" s="1">
        <v>2.0000000000000002E-5</v>
      </c>
      <c r="F183" s="1">
        <v>2.0000000000000002E-5</v>
      </c>
      <c r="G183">
        <v>0</v>
      </c>
      <c r="H183" s="9">
        <v>1000</v>
      </c>
      <c r="I183" s="7">
        <v>200</v>
      </c>
      <c r="J183">
        <v>0.2</v>
      </c>
      <c r="K183">
        <v>400</v>
      </c>
      <c r="M183">
        <v>64</v>
      </c>
      <c r="N183" t="s">
        <v>12</v>
      </c>
      <c r="O183" t="s">
        <v>13</v>
      </c>
      <c r="P183">
        <v>5984757.5020000003</v>
      </c>
      <c r="Q183">
        <v>5984722.3799999999</v>
      </c>
      <c r="R183" s="2">
        <f t="shared" si="2"/>
        <v>6.6080646198887065E-7</v>
      </c>
    </row>
    <row r="184" spans="1:20" x14ac:dyDescent="0.25">
      <c r="A184" t="s">
        <v>79</v>
      </c>
      <c r="B184" t="s">
        <v>88</v>
      </c>
      <c r="C184" t="s">
        <v>42</v>
      </c>
      <c r="D184" s="6">
        <v>4</v>
      </c>
      <c r="E184" s="1">
        <v>2.0000000000000002E-5</v>
      </c>
      <c r="F184" s="1">
        <v>2.0000000000000002E-5</v>
      </c>
      <c r="G184">
        <v>0</v>
      </c>
      <c r="H184" s="9">
        <v>1000</v>
      </c>
      <c r="I184" s="7">
        <v>50</v>
      </c>
      <c r="J184">
        <v>0.05</v>
      </c>
      <c r="K184">
        <v>400</v>
      </c>
      <c r="M184">
        <v>64</v>
      </c>
      <c r="N184" t="s">
        <v>12</v>
      </c>
      <c r="O184" t="s">
        <v>13</v>
      </c>
      <c r="P184">
        <v>5984722.3799999999</v>
      </c>
      <c r="Q184">
        <v>5984718.0609999998</v>
      </c>
      <c r="R184" s="2">
        <f t="shared" si="2"/>
        <v>8.1260267336223234E-8</v>
      </c>
    </row>
    <row r="185" spans="1:20" x14ac:dyDescent="0.25">
      <c r="A185" t="s">
        <v>79</v>
      </c>
      <c r="B185" t="s">
        <v>88</v>
      </c>
      <c r="C185" t="s">
        <v>42</v>
      </c>
      <c r="D185" s="6">
        <v>5</v>
      </c>
      <c r="E185" s="1">
        <v>2.0000000000000002E-5</v>
      </c>
      <c r="F185" s="1">
        <v>2.0000000000000002E-5</v>
      </c>
      <c r="G185">
        <v>0</v>
      </c>
      <c r="H185" s="9">
        <v>1000</v>
      </c>
      <c r="I185" s="7">
        <v>150</v>
      </c>
      <c r="J185">
        <v>0.15</v>
      </c>
      <c r="K185">
        <v>400</v>
      </c>
      <c r="M185">
        <v>64</v>
      </c>
      <c r="N185" t="s">
        <v>12</v>
      </c>
      <c r="O185" t="s">
        <v>13</v>
      </c>
      <c r="P185">
        <v>5984718.0609999998</v>
      </c>
      <c r="Q185">
        <v>5984691</v>
      </c>
      <c r="R185" s="2">
        <f t="shared" si="2"/>
        <v>5.0914195283567408E-7</v>
      </c>
    </row>
    <row r="186" spans="1:20" x14ac:dyDescent="0.25">
      <c r="A186" t="s">
        <v>79</v>
      </c>
      <c r="B186" t="s">
        <v>88</v>
      </c>
      <c r="C186" t="s">
        <v>42</v>
      </c>
      <c r="D186" s="6">
        <v>6</v>
      </c>
      <c r="E186" s="1">
        <v>1.3799999999999999E-4</v>
      </c>
      <c r="F186" s="3">
        <v>0.1</v>
      </c>
      <c r="G186">
        <v>3.95</v>
      </c>
      <c r="H186" s="9">
        <v>345</v>
      </c>
      <c r="I186" s="7">
        <v>0</v>
      </c>
      <c r="J186">
        <v>0</v>
      </c>
      <c r="K186">
        <v>400</v>
      </c>
      <c r="M186">
        <v>64</v>
      </c>
      <c r="N186" t="s">
        <v>12</v>
      </c>
      <c r="O186" t="s">
        <v>13</v>
      </c>
      <c r="P186">
        <v>5984688.6969999997</v>
      </c>
      <c r="Q186">
        <v>5984682.7960000001</v>
      </c>
      <c r="R186" s="2">
        <f t="shared" si="2"/>
        <v>1.1102496816487048E-7</v>
      </c>
      <c r="T186" t="s">
        <v>70</v>
      </c>
    </row>
    <row r="187" spans="1:20" x14ac:dyDescent="0.25">
      <c r="A187" t="s">
        <v>79</v>
      </c>
      <c r="B187" t="s">
        <v>88</v>
      </c>
      <c r="C187" t="s">
        <v>42</v>
      </c>
      <c r="D187" s="6">
        <v>7</v>
      </c>
      <c r="E187" s="1">
        <v>1.3799999999999999E-4</v>
      </c>
      <c r="F187" s="3">
        <v>0.1</v>
      </c>
      <c r="G187">
        <v>3.95</v>
      </c>
      <c r="H187" s="9">
        <v>345</v>
      </c>
      <c r="I187" s="7">
        <v>250</v>
      </c>
      <c r="J187">
        <v>0.25</v>
      </c>
      <c r="K187">
        <v>400</v>
      </c>
      <c r="M187">
        <v>64</v>
      </c>
      <c r="N187" t="s">
        <v>12</v>
      </c>
      <c r="O187" t="s">
        <v>13</v>
      </c>
      <c r="P187">
        <v>5984682.7960000001</v>
      </c>
      <c r="Q187">
        <v>5984643.932</v>
      </c>
      <c r="R187" s="2">
        <f t="shared" si="2"/>
        <v>7.3121070378832144E-7</v>
      </c>
    </row>
    <row r="188" spans="1:20" x14ac:dyDescent="0.25">
      <c r="A188" t="s">
        <v>79</v>
      </c>
      <c r="B188" t="s">
        <v>88</v>
      </c>
      <c r="C188" t="s">
        <v>42</v>
      </c>
      <c r="D188" s="6">
        <v>8</v>
      </c>
      <c r="E188" s="1">
        <v>1.3799999999999999E-4</v>
      </c>
      <c r="F188" s="3">
        <v>0.1</v>
      </c>
      <c r="G188">
        <v>3.95</v>
      </c>
      <c r="H188" s="9">
        <v>345</v>
      </c>
      <c r="I188" s="7">
        <v>100</v>
      </c>
      <c r="J188">
        <v>0.1</v>
      </c>
      <c r="K188">
        <v>400</v>
      </c>
      <c r="M188">
        <v>64</v>
      </c>
      <c r="N188" t="s">
        <v>12</v>
      </c>
      <c r="O188" t="s">
        <v>13</v>
      </c>
      <c r="P188">
        <v>5984643.932</v>
      </c>
      <c r="Q188">
        <v>5984628.9620000003</v>
      </c>
      <c r="R188" s="2">
        <f t="shared" si="2"/>
        <v>2.8165459642609371E-7</v>
      </c>
    </row>
    <row r="189" spans="1:20" x14ac:dyDescent="0.25">
      <c r="A189" t="s">
        <v>79</v>
      </c>
      <c r="B189" t="s">
        <v>88</v>
      </c>
      <c r="C189" t="s">
        <v>42</v>
      </c>
      <c r="D189" s="6">
        <v>9</v>
      </c>
      <c r="E189" s="1">
        <v>1.3799999999999999E-4</v>
      </c>
      <c r="F189" s="3">
        <v>0.1</v>
      </c>
      <c r="G189">
        <v>3.95</v>
      </c>
      <c r="H189" s="9">
        <v>345</v>
      </c>
      <c r="I189" s="7">
        <v>200</v>
      </c>
      <c r="J189">
        <v>0.2</v>
      </c>
      <c r="K189">
        <v>400</v>
      </c>
      <c r="M189">
        <v>64</v>
      </c>
      <c r="N189" t="s">
        <v>12</v>
      </c>
      <c r="O189" t="s">
        <v>13</v>
      </c>
      <c r="P189">
        <v>5984628.9620000003</v>
      </c>
      <c r="Q189">
        <v>5984598.0159999998</v>
      </c>
      <c r="R189" s="2">
        <f t="shared" si="2"/>
        <v>5.822366827844912E-7</v>
      </c>
    </row>
    <row r="190" spans="1:20" x14ac:dyDescent="0.25">
      <c r="A190" t="s">
        <v>79</v>
      </c>
      <c r="B190" t="s">
        <v>88</v>
      </c>
      <c r="C190" t="s">
        <v>42</v>
      </c>
      <c r="D190" s="6">
        <v>10</v>
      </c>
      <c r="E190" s="1">
        <v>1.3799999999999999E-4</v>
      </c>
      <c r="F190" s="3">
        <v>0.1</v>
      </c>
      <c r="G190">
        <v>3.95</v>
      </c>
      <c r="H190" s="9">
        <v>345</v>
      </c>
      <c r="I190" s="7">
        <v>50</v>
      </c>
      <c r="J190">
        <v>0.05</v>
      </c>
      <c r="K190">
        <v>400</v>
      </c>
      <c r="M190">
        <v>64</v>
      </c>
      <c r="N190" t="s">
        <v>12</v>
      </c>
      <c r="O190" t="s">
        <v>13</v>
      </c>
      <c r="P190">
        <v>5984598.0159999998</v>
      </c>
      <c r="Q190">
        <v>5984593.8420000002</v>
      </c>
      <c r="R190" s="2">
        <f t="shared" si="2"/>
        <v>7.8532149993611551E-8</v>
      </c>
    </row>
    <row r="191" spans="1:20" x14ac:dyDescent="0.25">
      <c r="A191" t="s">
        <v>79</v>
      </c>
      <c r="B191" t="s">
        <v>88</v>
      </c>
      <c r="C191" t="s">
        <v>42</v>
      </c>
      <c r="D191" s="6">
        <v>11</v>
      </c>
      <c r="E191" s="1">
        <v>1.3799999999999999E-4</v>
      </c>
      <c r="F191" s="3">
        <v>0.1</v>
      </c>
      <c r="G191">
        <v>3.95</v>
      </c>
      <c r="H191" s="9">
        <v>345</v>
      </c>
      <c r="I191" s="7">
        <v>150</v>
      </c>
      <c r="J191">
        <v>0.15</v>
      </c>
      <c r="K191">
        <v>400</v>
      </c>
      <c r="M191">
        <v>64</v>
      </c>
      <c r="N191" t="s">
        <v>12</v>
      </c>
      <c r="O191" t="s">
        <v>13</v>
      </c>
      <c r="P191">
        <v>5984593.8420000002</v>
      </c>
      <c r="Q191">
        <v>5984571.5319999997</v>
      </c>
      <c r="R191" s="2">
        <f t="shared" si="2"/>
        <v>4.1975377732281259E-7</v>
      </c>
      <c r="T191" t="s">
        <v>80</v>
      </c>
    </row>
    <row r="192" spans="1:20" x14ac:dyDescent="0.25">
      <c r="A192" t="s">
        <v>79</v>
      </c>
      <c r="B192" t="s">
        <v>88</v>
      </c>
      <c r="C192" t="s">
        <v>42</v>
      </c>
      <c r="D192" s="6">
        <v>12</v>
      </c>
      <c r="E192" s="1">
        <v>1.3799999999999999E-4</v>
      </c>
      <c r="F192" s="4">
        <v>0.05</v>
      </c>
      <c r="G192">
        <v>2.11</v>
      </c>
      <c r="H192" s="9">
        <v>345</v>
      </c>
      <c r="I192" s="7">
        <v>0</v>
      </c>
      <c r="J192">
        <v>0</v>
      </c>
      <c r="K192">
        <v>400</v>
      </c>
      <c r="M192">
        <v>64</v>
      </c>
      <c r="N192" t="s">
        <v>12</v>
      </c>
      <c r="O192" t="s">
        <v>13</v>
      </c>
      <c r="P192">
        <v>5984571.5319999997</v>
      </c>
      <c r="Q192">
        <v>5984564.0470000003</v>
      </c>
      <c r="R192" s="2">
        <f t="shared" si="2"/>
        <v>1.4082729820428562E-7</v>
      </c>
      <c r="T192" t="s">
        <v>81</v>
      </c>
    </row>
    <row r="193" spans="1:20" x14ac:dyDescent="0.25">
      <c r="A193" t="s">
        <v>79</v>
      </c>
      <c r="B193" t="s">
        <v>88</v>
      </c>
      <c r="C193" t="s">
        <v>42</v>
      </c>
      <c r="D193" s="6">
        <v>13</v>
      </c>
      <c r="E193" s="1">
        <v>1.3799999999999999E-4</v>
      </c>
      <c r="F193" s="4">
        <v>0.05</v>
      </c>
      <c r="G193">
        <v>2.11</v>
      </c>
      <c r="H193" s="9">
        <v>345</v>
      </c>
      <c r="I193" s="7">
        <v>250</v>
      </c>
      <c r="J193">
        <v>0.25</v>
      </c>
      <c r="K193">
        <v>400</v>
      </c>
      <c r="M193">
        <v>64</v>
      </c>
      <c r="N193" t="s">
        <v>12</v>
      </c>
      <c r="O193" t="s">
        <v>13</v>
      </c>
      <c r="P193">
        <v>5984564.0470000003</v>
      </c>
      <c r="Q193">
        <v>5984522.3059999999</v>
      </c>
      <c r="R193" s="2">
        <f t="shared" si="2"/>
        <v>7.8534031461158938E-7</v>
      </c>
    </row>
    <row r="194" spans="1:20" x14ac:dyDescent="0.25">
      <c r="A194" t="s">
        <v>79</v>
      </c>
      <c r="B194" t="s">
        <v>88</v>
      </c>
      <c r="C194" t="s">
        <v>42</v>
      </c>
      <c r="D194" s="6">
        <v>14</v>
      </c>
      <c r="E194" s="1">
        <v>1.3799999999999999E-4</v>
      </c>
      <c r="F194" s="4">
        <v>0.05</v>
      </c>
      <c r="G194">
        <v>2.11</v>
      </c>
      <c r="H194" s="9">
        <v>345</v>
      </c>
      <c r="I194" s="7">
        <v>100</v>
      </c>
      <c r="J194">
        <v>0.1</v>
      </c>
      <c r="K194">
        <v>400</v>
      </c>
      <c r="M194">
        <v>64</v>
      </c>
      <c r="N194" t="s">
        <v>12</v>
      </c>
      <c r="O194" t="s">
        <v>13</v>
      </c>
      <c r="P194">
        <v>5984522.3059999999</v>
      </c>
      <c r="Q194">
        <v>5984505.1780000003</v>
      </c>
      <c r="R194" s="2">
        <f t="shared" si="2"/>
        <v>3.2225650818612942E-7</v>
      </c>
    </row>
    <row r="195" spans="1:20" x14ac:dyDescent="0.25">
      <c r="A195" t="s">
        <v>79</v>
      </c>
      <c r="B195" t="s">
        <v>88</v>
      </c>
      <c r="C195" t="s">
        <v>42</v>
      </c>
      <c r="D195" s="6">
        <v>15</v>
      </c>
      <c r="E195" s="1">
        <v>1.3799999999999999E-4</v>
      </c>
      <c r="F195" s="4">
        <v>0.05</v>
      </c>
      <c r="G195">
        <v>2.11</v>
      </c>
      <c r="H195" s="9">
        <v>345</v>
      </c>
      <c r="I195" s="7">
        <v>200</v>
      </c>
      <c r="J195">
        <v>0.2</v>
      </c>
      <c r="K195">
        <v>400</v>
      </c>
      <c r="M195">
        <v>64</v>
      </c>
      <c r="N195" t="s">
        <v>12</v>
      </c>
      <c r="O195" t="s">
        <v>13</v>
      </c>
      <c r="P195">
        <v>5984505.1780000003</v>
      </c>
      <c r="Q195">
        <v>5984472.6500000004</v>
      </c>
      <c r="R195" s="2">
        <f t="shared" si="2"/>
        <v>6.1200138361313842E-7</v>
      </c>
    </row>
    <row r="196" spans="1:20" x14ac:dyDescent="0.25">
      <c r="A196" t="s">
        <v>79</v>
      </c>
      <c r="B196" t="s">
        <v>88</v>
      </c>
      <c r="C196" t="s">
        <v>42</v>
      </c>
      <c r="D196" s="6">
        <v>16</v>
      </c>
      <c r="E196" s="1">
        <v>1.3799999999999999E-4</v>
      </c>
      <c r="F196" s="4">
        <v>0.05</v>
      </c>
      <c r="G196">
        <v>2.11</v>
      </c>
      <c r="H196" s="9">
        <v>345</v>
      </c>
      <c r="I196" s="7">
        <v>50</v>
      </c>
      <c r="J196">
        <v>0.05</v>
      </c>
      <c r="K196">
        <v>400</v>
      </c>
      <c r="M196">
        <v>64</v>
      </c>
      <c r="N196" t="s">
        <v>12</v>
      </c>
      <c r="O196" t="s">
        <v>13</v>
      </c>
      <c r="P196">
        <v>5984472.6500000004</v>
      </c>
      <c r="Q196">
        <v>5984467.6129999999</v>
      </c>
      <c r="R196" s="2">
        <f t="shared" si="2"/>
        <v>9.4769151794071509E-8</v>
      </c>
    </row>
    <row r="197" spans="1:20" x14ac:dyDescent="0.25">
      <c r="A197" t="s">
        <v>79</v>
      </c>
      <c r="B197" t="s">
        <v>88</v>
      </c>
      <c r="C197" t="s">
        <v>42</v>
      </c>
      <c r="D197" s="6">
        <v>17</v>
      </c>
      <c r="E197" s="1">
        <v>1.3799999999999999E-4</v>
      </c>
      <c r="F197" s="4">
        <v>0.05</v>
      </c>
      <c r="G197">
        <v>2.11</v>
      </c>
      <c r="H197" s="9">
        <v>345</v>
      </c>
      <c r="I197" s="7">
        <v>150</v>
      </c>
      <c r="J197">
        <v>0.15</v>
      </c>
      <c r="K197">
        <v>400</v>
      </c>
      <c r="M197">
        <v>64</v>
      </c>
      <c r="N197" t="s">
        <v>12</v>
      </c>
      <c r="O197" t="s">
        <v>13</v>
      </c>
      <c r="P197">
        <v>5984467.6129999999</v>
      </c>
      <c r="Q197">
        <v>5984443.432</v>
      </c>
      <c r="R197" s="2">
        <f t="shared" ref="R197:R260" si="3">0.0000000188146023 * ( P197 - Q197 )</f>
        <v>4.5495589821377676E-7</v>
      </c>
      <c r="T197" t="s">
        <v>82</v>
      </c>
    </row>
    <row r="198" spans="1:20" x14ac:dyDescent="0.25">
      <c r="A198" t="s">
        <v>79</v>
      </c>
      <c r="B198" t="s">
        <v>88</v>
      </c>
      <c r="C198" t="s">
        <v>42</v>
      </c>
      <c r="D198" s="6">
        <v>18</v>
      </c>
      <c r="E198" s="1">
        <v>1.3799999999999999E-4</v>
      </c>
      <c r="F198" s="5">
        <v>0.2</v>
      </c>
      <c r="G198">
        <v>8.1</v>
      </c>
      <c r="H198" s="9">
        <v>345</v>
      </c>
      <c r="I198" s="7">
        <v>0</v>
      </c>
      <c r="J198">
        <v>0</v>
      </c>
      <c r="K198">
        <v>400</v>
      </c>
      <c r="M198">
        <v>64</v>
      </c>
      <c r="N198" t="s">
        <v>12</v>
      </c>
      <c r="O198" t="s">
        <v>13</v>
      </c>
      <c r="P198">
        <v>5984442.4249999998</v>
      </c>
      <c r="Q198">
        <v>5984435.6600000001</v>
      </c>
      <c r="R198" s="2">
        <f t="shared" si="3"/>
        <v>1.2728078455319192E-7</v>
      </c>
      <c r="T198" t="s">
        <v>83</v>
      </c>
    </row>
    <row r="199" spans="1:20" x14ac:dyDescent="0.25">
      <c r="A199" t="s">
        <v>79</v>
      </c>
      <c r="B199" t="s">
        <v>88</v>
      </c>
      <c r="C199" t="s">
        <v>42</v>
      </c>
      <c r="D199" s="6">
        <v>19</v>
      </c>
      <c r="E199" s="1">
        <v>1.3799999999999999E-4</v>
      </c>
      <c r="F199" s="5">
        <v>0.2</v>
      </c>
      <c r="G199">
        <v>8.1</v>
      </c>
      <c r="H199" s="9">
        <v>345</v>
      </c>
      <c r="I199" s="7">
        <v>250</v>
      </c>
      <c r="J199">
        <v>0.25</v>
      </c>
      <c r="K199">
        <v>400</v>
      </c>
      <c r="M199">
        <v>64</v>
      </c>
      <c r="N199" t="s">
        <v>12</v>
      </c>
      <c r="O199" t="s">
        <v>13</v>
      </c>
      <c r="P199">
        <v>5984435.6600000001</v>
      </c>
      <c r="Q199">
        <v>5984399.1030000001</v>
      </c>
      <c r="R199" s="2">
        <f t="shared" si="3"/>
        <v>6.8780541628166075E-7</v>
      </c>
    </row>
    <row r="200" spans="1:20" x14ac:dyDescent="0.25">
      <c r="A200" t="s">
        <v>79</v>
      </c>
      <c r="B200" t="s">
        <v>88</v>
      </c>
      <c r="C200" t="s">
        <v>42</v>
      </c>
      <c r="D200" s="6">
        <v>20</v>
      </c>
      <c r="E200" s="1">
        <v>1.3799999999999999E-4</v>
      </c>
      <c r="F200" s="5">
        <v>0.2</v>
      </c>
      <c r="G200">
        <v>8.1</v>
      </c>
      <c r="H200" s="9">
        <v>345</v>
      </c>
      <c r="I200" s="7">
        <v>100</v>
      </c>
      <c r="J200">
        <v>0.1</v>
      </c>
      <c r="K200">
        <v>400</v>
      </c>
      <c r="M200">
        <v>64</v>
      </c>
      <c r="N200" t="s">
        <v>12</v>
      </c>
      <c r="O200" t="s">
        <v>13</v>
      </c>
      <c r="P200">
        <v>5984399.1030000001</v>
      </c>
      <c r="Q200">
        <v>5984384.8540000003</v>
      </c>
      <c r="R200" s="2">
        <f t="shared" si="3"/>
        <v>2.6808926816961608E-7</v>
      </c>
    </row>
    <row r="201" spans="1:20" x14ac:dyDescent="0.25">
      <c r="A201" t="s">
        <v>79</v>
      </c>
      <c r="B201" t="s">
        <v>88</v>
      </c>
      <c r="C201" t="s">
        <v>42</v>
      </c>
      <c r="D201" s="6">
        <v>21</v>
      </c>
      <c r="E201" s="1">
        <v>1.3799999999999999E-4</v>
      </c>
      <c r="F201" s="5">
        <v>0.2</v>
      </c>
      <c r="G201">
        <v>8.1</v>
      </c>
      <c r="H201" s="9">
        <v>345</v>
      </c>
      <c r="I201" s="7">
        <v>200</v>
      </c>
      <c r="J201">
        <v>0.2</v>
      </c>
      <c r="K201">
        <v>400</v>
      </c>
      <c r="M201">
        <v>64</v>
      </c>
      <c r="N201" t="s">
        <v>12</v>
      </c>
      <c r="O201" t="s">
        <v>13</v>
      </c>
      <c r="P201">
        <v>5984384.8540000003</v>
      </c>
      <c r="Q201">
        <v>5984354.9170000004</v>
      </c>
      <c r="R201" s="2">
        <f t="shared" si="3"/>
        <v>5.6325274905355809E-7</v>
      </c>
    </row>
    <row r="202" spans="1:20" x14ac:dyDescent="0.25">
      <c r="A202" t="s">
        <v>79</v>
      </c>
      <c r="B202" t="s">
        <v>88</v>
      </c>
      <c r="C202" t="s">
        <v>42</v>
      </c>
      <c r="D202" s="6">
        <v>22</v>
      </c>
      <c r="E202" s="1">
        <v>1.3799999999999999E-4</v>
      </c>
      <c r="F202" s="5">
        <v>0.2</v>
      </c>
      <c r="G202">
        <v>8.1</v>
      </c>
      <c r="H202" s="9">
        <v>345</v>
      </c>
      <c r="I202" s="7">
        <v>50</v>
      </c>
      <c r="J202">
        <v>0.05</v>
      </c>
      <c r="K202">
        <v>400</v>
      </c>
      <c r="M202">
        <v>64</v>
      </c>
      <c r="N202" t="s">
        <v>12</v>
      </c>
      <c r="O202" t="s">
        <v>13</v>
      </c>
      <c r="P202">
        <v>5984354.9170000004</v>
      </c>
      <c r="Q202">
        <v>5984350.7439999999</v>
      </c>
      <c r="R202" s="2">
        <f t="shared" si="3"/>
        <v>7.8513335405750071E-8</v>
      </c>
    </row>
    <row r="203" spans="1:20" x14ac:dyDescent="0.25">
      <c r="A203" t="s">
        <v>79</v>
      </c>
      <c r="B203" t="s">
        <v>88</v>
      </c>
      <c r="C203" t="s">
        <v>42</v>
      </c>
      <c r="D203" s="6">
        <v>23</v>
      </c>
      <c r="E203" s="1">
        <v>1.3799999999999999E-4</v>
      </c>
      <c r="F203" s="5">
        <v>0.2</v>
      </c>
      <c r="G203">
        <v>8.1</v>
      </c>
      <c r="H203" s="9">
        <v>345</v>
      </c>
      <c r="I203" s="7">
        <v>150</v>
      </c>
      <c r="J203">
        <v>0.15</v>
      </c>
      <c r="K203">
        <v>400</v>
      </c>
      <c r="M203">
        <v>64</v>
      </c>
      <c r="N203" t="s">
        <v>12</v>
      </c>
      <c r="O203" t="s">
        <v>13</v>
      </c>
      <c r="P203">
        <v>5984350.7439999999</v>
      </c>
      <c r="Q203">
        <v>5984328.7230000002</v>
      </c>
      <c r="R203" s="2">
        <f t="shared" si="3"/>
        <v>4.1431635724297319E-7</v>
      </c>
      <c r="T203" t="s">
        <v>84</v>
      </c>
    </row>
    <row r="204" spans="1:20" x14ac:dyDescent="0.25">
      <c r="A204" t="s">
        <v>79</v>
      </c>
      <c r="B204" t="s">
        <v>88</v>
      </c>
      <c r="C204" t="s">
        <v>42</v>
      </c>
      <c r="D204" s="6">
        <v>24</v>
      </c>
      <c r="E204" s="1">
        <v>1.3799999999999999E-4</v>
      </c>
      <c r="F204" s="5">
        <v>0.3</v>
      </c>
      <c r="G204">
        <v>12.8</v>
      </c>
      <c r="H204" s="9">
        <v>345</v>
      </c>
      <c r="I204" s="7">
        <v>0</v>
      </c>
      <c r="J204">
        <v>0</v>
      </c>
      <c r="K204">
        <v>400</v>
      </c>
      <c r="M204">
        <v>64</v>
      </c>
      <c r="N204" t="s">
        <v>12</v>
      </c>
      <c r="O204" t="s">
        <v>13</v>
      </c>
      <c r="P204">
        <v>5984328.0039999997</v>
      </c>
      <c r="Q204">
        <v>5984322.3909999998</v>
      </c>
      <c r="R204" s="2">
        <f t="shared" si="3"/>
        <v>1.0560636270793749E-7</v>
      </c>
      <c r="T204" t="s">
        <v>85</v>
      </c>
    </row>
    <row r="205" spans="1:20" x14ac:dyDescent="0.25">
      <c r="A205" t="s">
        <v>79</v>
      </c>
      <c r="B205" t="s">
        <v>88</v>
      </c>
      <c r="C205" t="s">
        <v>42</v>
      </c>
      <c r="D205" s="6">
        <v>25</v>
      </c>
      <c r="E205" s="1">
        <v>1.3799999999999999E-4</v>
      </c>
      <c r="F205" s="5">
        <v>0.3</v>
      </c>
      <c r="G205">
        <v>12.8</v>
      </c>
      <c r="H205" s="9">
        <v>345</v>
      </c>
      <c r="I205" s="7">
        <v>250</v>
      </c>
      <c r="J205">
        <v>0.25</v>
      </c>
      <c r="K205">
        <v>400</v>
      </c>
      <c r="M205">
        <v>64</v>
      </c>
      <c r="N205" t="s">
        <v>12</v>
      </c>
      <c r="O205" t="s">
        <v>13</v>
      </c>
      <c r="P205">
        <v>5984322.3909999998</v>
      </c>
      <c r="Q205">
        <v>5984287.1299999999</v>
      </c>
      <c r="R205" s="2">
        <f t="shared" si="3"/>
        <v>6.6342169169917857E-7</v>
      </c>
    </row>
    <row r="206" spans="1:20" x14ac:dyDescent="0.25">
      <c r="A206" t="s">
        <v>79</v>
      </c>
      <c r="B206" t="s">
        <v>88</v>
      </c>
      <c r="C206" t="s">
        <v>42</v>
      </c>
      <c r="D206" s="6">
        <v>26</v>
      </c>
      <c r="E206" s="1">
        <v>1.3799999999999999E-4</v>
      </c>
      <c r="F206" s="5">
        <v>0.3</v>
      </c>
      <c r="G206">
        <v>12.8</v>
      </c>
      <c r="H206" s="9">
        <v>345</v>
      </c>
      <c r="I206" s="7">
        <v>100</v>
      </c>
      <c r="J206">
        <v>0.1</v>
      </c>
      <c r="K206">
        <v>400</v>
      </c>
      <c r="M206">
        <v>64</v>
      </c>
      <c r="N206" t="s">
        <v>12</v>
      </c>
      <c r="O206" t="s">
        <v>13</v>
      </c>
      <c r="P206">
        <v>5984287.1299999999</v>
      </c>
      <c r="Q206">
        <v>5984273.7450000001</v>
      </c>
      <c r="R206" s="2">
        <f t="shared" si="3"/>
        <v>2.5183345178129464E-7</v>
      </c>
    </row>
    <row r="207" spans="1:20" x14ac:dyDescent="0.25">
      <c r="A207" t="s">
        <v>79</v>
      </c>
      <c r="B207" t="s">
        <v>88</v>
      </c>
      <c r="C207" t="s">
        <v>42</v>
      </c>
      <c r="D207" s="6">
        <v>27</v>
      </c>
      <c r="E207" s="1">
        <v>1.3799999999999999E-4</v>
      </c>
      <c r="F207" s="5">
        <v>0.3</v>
      </c>
      <c r="G207">
        <v>12.8</v>
      </c>
      <c r="H207" s="9">
        <v>345</v>
      </c>
      <c r="I207" s="7">
        <v>200</v>
      </c>
      <c r="J207">
        <v>0.2</v>
      </c>
      <c r="K207">
        <v>400</v>
      </c>
      <c r="M207">
        <v>64</v>
      </c>
      <c r="N207" t="s">
        <v>12</v>
      </c>
      <c r="O207" t="s">
        <v>13</v>
      </c>
      <c r="P207">
        <v>5984273.7450000001</v>
      </c>
      <c r="Q207">
        <v>5984246.9759999998</v>
      </c>
      <c r="R207" s="2">
        <f t="shared" si="3"/>
        <v>5.036480889747277E-7</v>
      </c>
    </row>
    <row r="208" spans="1:20" x14ac:dyDescent="0.25">
      <c r="A208" t="s">
        <v>79</v>
      </c>
      <c r="B208" t="s">
        <v>88</v>
      </c>
      <c r="C208" t="s">
        <v>42</v>
      </c>
      <c r="D208" s="6">
        <v>28</v>
      </c>
      <c r="E208" s="1">
        <v>1.3799999999999999E-4</v>
      </c>
      <c r="F208" s="5">
        <v>0.3</v>
      </c>
      <c r="G208">
        <v>12.8</v>
      </c>
      <c r="H208" s="9">
        <v>345</v>
      </c>
      <c r="I208" s="7">
        <v>50</v>
      </c>
      <c r="J208">
        <v>0.05</v>
      </c>
      <c r="K208">
        <v>400</v>
      </c>
      <c r="M208">
        <v>64</v>
      </c>
      <c r="N208" t="s">
        <v>12</v>
      </c>
      <c r="O208" t="s">
        <v>13</v>
      </c>
      <c r="P208">
        <v>5984246.9759999998</v>
      </c>
      <c r="Q208">
        <v>5984243.2340000002</v>
      </c>
      <c r="R208" s="2">
        <f t="shared" si="3"/>
        <v>7.0404241799450832E-8</v>
      </c>
    </row>
    <row r="209" spans="1:20" x14ac:dyDescent="0.25">
      <c r="A209" t="s">
        <v>79</v>
      </c>
      <c r="B209" t="s">
        <v>88</v>
      </c>
      <c r="C209" t="s">
        <v>42</v>
      </c>
      <c r="D209" s="6">
        <v>29</v>
      </c>
      <c r="E209" s="1">
        <v>1.3799999999999999E-4</v>
      </c>
      <c r="F209" s="5">
        <v>0.3</v>
      </c>
      <c r="G209">
        <v>12.8</v>
      </c>
      <c r="H209" s="9">
        <v>345</v>
      </c>
      <c r="I209" s="7">
        <v>150</v>
      </c>
      <c r="J209">
        <v>0.15</v>
      </c>
      <c r="K209">
        <v>400</v>
      </c>
      <c r="M209">
        <v>64</v>
      </c>
      <c r="N209" t="s">
        <v>12</v>
      </c>
      <c r="O209" t="s">
        <v>13</v>
      </c>
      <c r="P209">
        <v>5984243.2340000002</v>
      </c>
      <c r="Q209">
        <v>5984223.3729999997</v>
      </c>
      <c r="R209" s="2">
        <f t="shared" si="3"/>
        <v>3.7367681628969203E-7</v>
      </c>
      <c r="T209" t="s">
        <v>65</v>
      </c>
    </row>
    <row r="210" spans="1:20" x14ac:dyDescent="0.25">
      <c r="A210" t="s">
        <v>79</v>
      </c>
      <c r="B210" t="s">
        <v>88</v>
      </c>
      <c r="C210" t="s">
        <v>42</v>
      </c>
      <c r="D210" s="6">
        <v>30</v>
      </c>
      <c r="E210" s="1">
        <v>1.3799999999999999E-4</v>
      </c>
      <c r="F210" s="5">
        <v>7.4999999999999997E-2</v>
      </c>
      <c r="G210">
        <v>3</v>
      </c>
      <c r="H210" s="9">
        <v>345</v>
      </c>
      <c r="I210" s="7">
        <v>0</v>
      </c>
      <c r="J210">
        <v>0</v>
      </c>
      <c r="K210">
        <v>400</v>
      </c>
      <c r="M210">
        <v>64</v>
      </c>
      <c r="N210" t="s">
        <v>12</v>
      </c>
      <c r="O210" t="s">
        <v>13</v>
      </c>
      <c r="P210">
        <v>5984222.7970000003</v>
      </c>
      <c r="Q210">
        <v>5984215.0259999996</v>
      </c>
      <c r="R210" s="2">
        <f t="shared" si="3"/>
        <v>1.4620827448549564E-7</v>
      </c>
      <c r="T210" t="s">
        <v>86</v>
      </c>
    </row>
    <row r="211" spans="1:20" x14ac:dyDescent="0.25">
      <c r="A211" t="s">
        <v>79</v>
      </c>
      <c r="B211" t="s">
        <v>88</v>
      </c>
      <c r="C211" t="s">
        <v>42</v>
      </c>
      <c r="D211" s="6">
        <v>31</v>
      </c>
      <c r="E211" s="1">
        <v>1.3799999999999999E-4</v>
      </c>
      <c r="F211" s="5">
        <v>7.4999999999999997E-2</v>
      </c>
      <c r="G211">
        <v>3</v>
      </c>
      <c r="H211" s="9">
        <v>345</v>
      </c>
      <c r="I211" s="7">
        <v>250</v>
      </c>
      <c r="J211">
        <v>0.25</v>
      </c>
      <c r="K211">
        <v>400</v>
      </c>
      <c r="M211">
        <v>64</v>
      </c>
      <c r="N211" t="s">
        <v>12</v>
      </c>
      <c r="O211" t="s">
        <v>13</v>
      </c>
      <c r="P211">
        <v>5984215.0259999996</v>
      </c>
      <c r="Q211">
        <v>5984170.1239999998</v>
      </c>
      <c r="R211" s="2">
        <f t="shared" si="3"/>
        <v>8.448132724702545E-7</v>
      </c>
    </row>
    <row r="212" spans="1:20" x14ac:dyDescent="0.25">
      <c r="A212" t="s">
        <v>79</v>
      </c>
      <c r="B212" t="s">
        <v>88</v>
      </c>
      <c r="C212" t="s">
        <v>42</v>
      </c>
      <c r="D212" s="6">
        <v>32</v>
      </c>
      <c r="E212" s="1">
        <v>1.3799999999999999E-4</v>
      </c>
      <c r="F212" s="5">
        <v>7.4999999999999997E-2</v>
      </c>
      <c r="G212">
        <v>3</v>
      </c>
      <c r="H212" s="9">
        <v>345</v>
      </c>
      <c r="I212" s="7">
        <v>100</v>
      </c>
      <c r="J212">
        <v>0.1</v>
      </c>
      <c r="K212">
        <v>400</v>
      </c>
      <c r="M212">
        <v>64</v>
      </c>
      <c r="N212" t="s">
        <v>12</v>
      </c>
      <c r="O212" t="s">
        <v>13</v>
      </c>
      <c r="P212">
        <v>5984170.1239999998</v>
      </c>
      <c r="Q212">
        <v>5984152.9979999997</v>
      </c>
      <c r="R212" s="2">
        <f t="shared" si="3"/>
        <v>3.2221887899288396E-7</v>
      </c>
    </row>
    <row r="213" spans="1:20" x14ac:dyDescent="0.25">
      <c r="A213" t="s">
        <v>79</v>
      </c>
      <c r="B213" t="s">
        <v>88</v>
      </c>
      <c r="C213" t="s">
        <v>42</v>
      </c>
      <c r="D213" s="6">
        <v>33</v>
      </c>
      <c r="E213" s="1">
        <v>1.3799999999999999E-4</v>
      </c>
      <c r="F213" s="5">
        <v>7.4999999999999997E-2</v>
      </c>
      <c r="G213">
        <v>3</v>
      </c>
      <c r="H213" s="9">
        <v>345</v>
      </c>
      <c r="I213" s="7">
        <v>200</v>
      </c>
      <c r="J213">
        <v>0.2</v>
      </c>
      <c r="K213">
        <v>400</v>
      </c>
      <c r="M213">
        <v>64</v>
      </c>
      <c r="N213" t="s">
        <v>12</v>
      </c>
      <c r="O213" t="s">
        <v>13</v>
      </c>
      <c r="P213">
        <v>5984152.9979999997</v>
      </c>
      <c r="Q213">
        <v>5984119.034</v>
      </c>
      <c r="R213" s="2">
        <f t="shared" si="3"/>
        <v>6.3901915251131245E-7</v>
      </c>
    </row>
    <row r="214" spans="1:20" x14ac:dyDescent="0.25">
      <c r="A214" t="s">
        <v>79</v>
      </c>
      <c r="B214" t="s">
        <v>88</v>
      </c>
      <c r="C214" t="s">
        <v>42</v>
      </c>
      <c r="D214" s="6">
        <v>34</v>
      </c>
      <c r="E214" s="1">
        <v>1.3799999999999999E-4</v>
      </c>
      <c r="F214" s="5">
        <v>7.4999999999999997E-2</v>
      </c>
      <c r="G214">
        <v>3</v>
      </c>
      <c r="H214" s="9">
        <v>345</v>
      </c>
      <c r="I214" s="7">
        <v>50</v>
      </c>
      <c r="J214">
        <v>0.05</v>
      </c>
      <c r="K214">
        <v>400</v>
      </c>
      <c r="M214">
        <v>64</v>
      </c>
      <c r="N214" t="s">
        <v>12</v>
      </c>
      <c r="O214" t="s">
        <v>13</v>
      </c>
      <c r="P214">
        <v>5984119.034</v>
      </c>
      <c r="Q214">
        <v>5984114.2850000001</v>
      </c>
      <c r="R214" s="2">
        <f t="shared" si="3"/>
        <v>8.9350546319616049E-8</v>
      </c>
    </row>
    <row r="215" spans="1:20" x14ac:dyDescent="0.25">
      <c r="A215" t="s">
        <v>79</v>
      </c>
      <c r="B215" t="s">
        <v>88</v>
      </c>
      <c r="C215" t="s">
        <v>42</v>
      </c>
      <c r="D215" s="6">
        <v>35</v>
      </c>
      <c r="E215" s="1">
        <v>1.3799999999999999E-4</v>
      </c>
      <c r="F215" s="5">
        <v>7.4999999999999997E-2</v>
      </c>
      <c r="G215">
        <v>3</v>
      </c>
      <c r="H215" s="9">
        <v>345</v>
      </c>
      <c r="I215" s="7">
        <v>150</v>
      </c>
      <c r="J215">
        <v>0.15</v>
      </c>
      <c r="K215">
        <v>400</v>
      </c>
      <c r="M215">
        <v>64</v>
      </c>
      <c r="N215" t="s">
        <v>12</v>
      </c>
      <c r="O215" t="s">
        <v>13</v>
      </c>
      <c r="P215">
        <v>5984114.2850000001</v>
      </c>
      <c r="Q215">
        <v>5984089.676</v>
      </c>
      <c r="R215" s="2">
        <f t="shared" si="3"/>
        <v>4.6300854800392413E-7</v>
      </c>
      <c r="T215" t="s">
        <v>87</v>
      </c>
    </row>
    <row r="216" spans="1:20" x14ac:dyDescent="0.25">
      <c r="A216" t="s">
        <v>79</v>
      </c>
      <c r="B216" t="s">
        <v>88</v>
      </c>
      <c r="C216" t="s">
        <v>42</v>
      </c>
      <c r="D216" s="6">
        <v>36</v>
      </c>
      <c r="E216" s="1">
        <v>1.3799999999999999E-4</v>
      </c>
      <c r="F216" s="5">
        <v>2.5000000000000001E-2</v>
      </c>
      <c r="G216">
        <v>1.35</v>
      </c>
      <c r="H216" s="9">
        <v>345</v>
      </c>
      <c r="I216" s="7">
        <v>0</v>
      </c>
      <c r="J216">
        <v>0</v>
      </c>
      <c r="K216">
        <v>400</v>
      </c>
      <c r="M216">
        <v>64</v>
      </c>
      <c r="N216" t="s">
        <v>12</v>
      </c>
      <c r="O216" t="s">
        <v>13</v>
      </c>
      <c r="P216">
        <v>5984089.0999999996</v>
      </c>
      <c r="Q216">
        <v>5984079.602</v>
      </c>
      <c r="R216" s="2">
        <f t="shared" si="3"/>
        <v>1.787010926392321E-7</v>
      </c>
    </row>
    <row r="217" spans="1:20" x14ac:dyDescent="0.25">
      <c r="A217" t="s">
        <v>79</v>
      </c>
      <c r="B217" t="s">
        <v>88</v>
      </c>
      <c r="C217" t="s">
        <v>42</v>
      </c>
      <c r="D217" s="6">
        <v>37</v>
      </c>
      <c r="E217" s="1">
        <v>1.3799999999999999E-4</v>
      </c>
      <c r="F217" s="5">
        <v>2.5000000000000001E-2</v>
      </c>
      <c r="G217">
        <v>1.35</v>
      </c>
      <c r="H217" s="9">
        <v>345</v>
      </c>
      <c r="I217" s="7">
        <v>250</v>
      </c>
      <c r="J217">
        <v>0.25</v>
      </c>
      <c r="K217">
        <v>400</v>
      </c>
      <c r="M217">
        <v>64</v>
      </c>
      <c r="N217" t="s">
        <v>12</v>
      </c>
      <c r="O217" t="s">
        <v>13</v>
      </c>
      <c r="P217">
        <v>5984079.602</v>
      </c>
      <c r="Q217">
        <v>5984034.9900000002</v>
      </c>
      <c r="R217" s="2">
        <f t="shared" si="3"/>
        <v>8.3935703780255352E-7</v>
      </c>
    </row>
    <row r="218" spans="1:20" x14ac:dyDescent="0.25">
      <c r="A218" t="s">
        <v>79</v>
      </c>
      <c r="B218" t="s">
        <v>88</v>
      </c>
      <c r="C218" t="s">
        <v>42</v>
      </c>
      <c r="D218" s="6">
        <v>38</v>
      </c>
      <c r="E218" s="1">
        <v>1.3799999999999999E-4</v>
      </c>
      <c r="F218" s="5">
        <v>2.5000000000000001E-2</v>
      </c>
      <c r="G218">
        <v>1.35</v>
      </c>
      <c r="H218" s="9">
        <v>345</v>
      </c>
      <c r="I218" s="7">
        <v>100</v>
      </c>
      <c r="J218">
        <v>0.1</v>
      </c>
      <c r="K218">
        <v>400</v>
      </c>
      <c r="M218">
        <v>64</v>
      </c>
      <c r="N218" t="s">
        <v>12</v>
      </c>
      <c r="O218" t="s">
        <v>13</v>
      </c>
      <c r="P218">
        <v>5984034.9900000002</v>
      </c>
      <c r="Q218">
        <v>5984016.8569999998</v>
      </c>
      <c r="R218" s="2">
        <f t="shared" si="3"/>
        <v>3.4116518351304915E-7</v>
      </c>
    </row>
    <row r="219" spans="1:20" x14ac:dyDescent="0.25">
      <c r="A219" t="s">
        <v>79</v>
      </c>
      <c r="B219" t="s">
        <v>88</v>
      </c>
      <c r="C219" t="s">
        <v>42</v>
      </c>
      <c r="D219" s="6">
        <v>39</v>
      </c>
      <c r="E219" s="1">
        <v>1.3799999999999999E-4</v>
      </c>
      <c r="F219" s="5">
        <v>2.5000000000000001E-2</v>
      </c>
      <c r="G219">
        <v>1.35</v>
      </c>
      <c r="H219" s="9">
        <v>345</v>
      </c>
      <c r="I219" s="7">
        <v>200</v>
      </c>
      <c r="J219">
        <v>0.2</v>
      </c>
      <c r="K219">
        <v>400</v>
      </c>
      <c r="M219">
        <v>64</v>
      </c>
      <c r="N219" t="s">
        <v>12</v>
      </c>
      <c r="O219" t="s">
        <v>13</v>
      </c>
      <c r="P219">
        <v>5984016.8569999998</v>
      </c>
      <c r="Q219">
        <v>5983979.585</v>
      </c>
      <c r="R219" s="2">
        <f t="shared" si="3"/>
        <v>7.0125785692335715E-7</v>
      </c>
    </row>
    <row r="220" spans="1:20" x14ac:dyDescent="0.25">
      <c r="A220" t="s">
        <v>79</v>
      </c>
      <c r="B220" t="s">
        <v>88</v>
      </c>
      <c r="C220" t="s">
        <v>42</v>
      </c>
      <c r="D220" s="6">
        <v>40</v>
      </c>
      <c r="E220" s="1">
        <v>1.3799999999999999E-4</v>
      </c>
      <c r="F220" s="5">
        <v>2.5000000000000001E-2</v>
      </c>
      <c r="G220">
        <v>1.35</v>
      </c>
      <c r="H220" s="9">
        <v>345</v>
      </c>
      <c r="I220" s="7">
        <v>50</v>
      </c>
      <c r="J220">
        <v>0.05</v>
      </c>
      <c r="K220">
        <v>400</v>
      </c>
      <c r="M220">
        <v>64</v>
      </c>
      <c r="N220" t="s">
        <v>12</v>
      </c>
      <c r="O220" t="s">
        <v>13</v>
      </c>
      <c r="P220">
        <v>5983979.585</v>
      </c>
      <c r="Q220">
        <v>5983972.102</v>
      </c>
      <c r="R220" s="2">
        <f t="shared" si="3"/>
        <v>1.407896690110402E-7</v>
      </c>
    </row>
    <row r="221" spans="1:20" x14ac:dyDescent="0.25">
      <c r="A221" t="s">
        <v>79</v>
      </c>
      <c r="B221" t="s">
        <v>88</v>
      </c>
      <c r="C221" t="s">
        <v>42</v>
      </c>
      <c r="D221" s="6">
        <v>41</v>
      </c>
      <c r="E221" s="1">
        <v>1.3799999999999999E-4</v>
      </c>
      <c r="F221" s="5">
        <v>2.5000000000000001E-2</v>
      </c>
      <c r="G221">
        <v>1.35</v>
      </c>
      <c r="H221" s="9">
        <v>345</v>
      </c>
      <c r="I221" s="7">
        <v>150</v>
      </c>
      <c r="J221">
        <v>0.15</v>
      </c>
      <c r="K221">
        <v>400</v>
      </c>
      <c r="M221">
        <v>64</v>
      </c>
      <c r="N221" t="s">
        <v>12</v>
      </c>
      <c r="O221" t="s">
        <v>13</v>
      </c>
      <c r="P221">
        <v>5983972.102</v>
      </c>
      <c r="Q221">
        <v>5983944.4720000001</v>
      </c>
      <c r="R221" s="2">
        <f t="shared" si="3"/>
        <v>5.1984746154689729E-7</v>
      </c>
    </row>
    <row r="222" spans="1:20" x14ac:dyDescent="0.25">
      <c r="R222" s="2">
        <f t="shared" si="3"/>
        <v>0</v>
      </c>
    </row>
    <row r="223" spans="1:20" x14ac:dyDescent="0.25">
      <c r="A223" t="s">
        <v>89</v>
      </c>
      <c r="B223" t="s">
        <v>90</v>
      </c>
      <c r="C223" t="s">
        <v>42</v>
      </c>
      <c r="D223" s="6">
        <v>0</v>
      </c>
      <c r="E223" s="1">
        <v>1.5299999999999999E-5</v>
      </c>
      <c r="F223" s="1">
        <v>1.5299999999999999E-5</v>
      </c>
      <c r="G223">
        <v>0</v>
      </c>
      <c r="H223" s="9">
        <v>1000</v>
      </c>
      <c r="I223" s="7">
        <v>0</v>
      </c>
      <c r="J223">
        <v>0</v>
      </c>
      <c r="K223">
        <v>400</v>
      </c>
      <c r="M223">
        <v>64</v>
      </c>
      <c r="N223" t="s">
        <v>12</v>
      </c>
      <c r="O223" t="s">
        <v>13</v>
      </c>
      <c r="P223">
        <v>5983689.0520000001</v>
      </c>
      <c r="Q223">
        <v>5983685.8859999999</v>
      </c>
      <c r="R223" s="2">
        <f t="shared" si="3"/>
        <v>5.9567030885584854E-8</v>
      </c>
    </row>
    <row r="224" spans="1:20" x14ac:dyDescent="0.25">
      <c r="A224" t="s">
        <v>89</v>
      </c>
      <c r="B224" t="s">
        <v>90</v>
      </c>
      <c r="C224" t="s">
        <v>42</v>
      </c>
      <c r="D224" s="6">
        <v>1</v>
      </c>
      <c r="E224" s="1">
        <v>1.5299999999999999E-5</v>
      </c>
      <c r="F224" s="1">
        <v>1.5299999999999999E-5</v>
      </c>
      <c r="G224">
        <v>0</v>
      </c>
      <c r="H224" s="9">
        <v>1000</v>
      </c>
      <c r="I224" s="7">
        <v>250</v>
      </c>
      <c r="J224">
        <v>0.25</v>
      </c>
      <c r="K224">
        <v>400</v>
      </c>
      <c r="M224">
        <v>64</v>
      </c>
      <c r="N224" t="s">
        <v>12</v>
      </c>
      <c r="O224" t="s">
        <v>13</v>
      </c>
      <c r="P224">
        <v>5983685.8859999999</v>
      </c>
      <c r="Q224">
        <v>5983669.6270000003</v>
      </c>
      <c r="R224" s="2">
        <f t="shared" si="3"/>
        <v>3.0590661878841068E-7</v>
      </c>
    </row>
    <row r="225" spans="1:20" x14ac:dyDescent="0.25">
      <c r="A225" t="s">
        <v>89</v>
      </c>
      <c r="B225" t="s">
        <v>90</v>
      </c>
      <c r="C225" t="s">
        <v>42</v>
      </c>
      <c r="D225" s="6">
        <v>2</v>
      </c>
      <c r="E225" s="1">
        <v>1.5299999999999999E-5</v>
      </c>
      <c r="F225" s="1">
        <v>1.5299999999999999E-5</v>
      </c>
      <c r="G225">
        <v>0</v>
      </c>
      <c r="H225" s="9">
        <v>1000</v>
      </c>
      <c r="I225" s="7">
        <v>100</v>
      </c>
      <c r="J225">
        <v>0.1</v>
      </c>
      <c r="K225">
        <v>400</v>
      </c>
      <c r="M225">
        <v>64</v>
      </c>
      <c r="N225" t="s">
        <v>12</v>
      </c>
      <c r="O225" t="s">
        <v>13</v>
      </c>
      <c r="P225">
        <v>5983669.6270000003</v>
      </c>
      <c r="Q225">
        <v>5983663.1509999996</v>
      </c>
      <c r="R225" s="2">
        <f t="shared" si="3"/>
        <v>1.2184336450839744E-7</v>
      </c>
    </row>
    <row r="226" spans="1:20" x14ac:dyDescent="0.25">
      <c r="A226" t="s">
        <v>89</v>
      </c>
      <c r="B226" t="s">
        <v>90</v>
      </c>
      <c r="C226" t="s">
        <v>42</v>
      </c>
      <c r="D226" s="6">
        <v>3</v>
      </c>
      <c r="E226" s="1">
        <v>1.5299999999999999E-5</v>
      </c>
      <c r="F226" s="1">
        <v>1.5299999999999999E-5</v>
      </c>
      <c r="G226">
        <v>0</v>
      </c>
      <c r="H226" s="9">
        <v>1000</v>
      </c>
      <c r="I226" s="7">
        <v>200</v>
      </c>
      <c r="J226">
        <v>0.2</v>
      </c>
      <c r="K226">
        <v>400</v>
      </c>
      <c r="M226">
        <v>64</v>
      </c>
      <c r="N226" t="s">
        <v>12</v>
      </c>
      <c r="O226" t="s">
        <v>13</v>
      </c>
      <c r="P226">
        <v>5983663.1509999996</v>
      </c>
      <c r="Q226">
        <v>5983648.4749999996</v>
      </c>
      <c r="R226" s="2">
        <f t="shared" si="3"/>
        <v>2.7612310335437947E-7</v>
      </c>
    </row>
    <row r="227" spans="1:20" x14ac:dyDescent="0.25">
      <c r="A227" t="s">
        <v>89</v>
      </c>
      <c r="B227" t="s">
        <v>90</v>
      </c>
      <c r="C227" t="s">
        <v>42</v>
      </c>
      <c r="D227" s="6">
        <v>4</v>
      </c>
      <c r="E227" s="1">
        <v>1.5299999999999999E-5</v>
      </c>
      <c r="F227" s="1">
        <v>1.5299999999999999E-5</v>
      </c>
      <c r="G227">
        <v>0</v>
      </c>
      <c r="H227" s="9">
        <v>1000</v>
      </c>
      <c r="I227" s="7">
        <v>50</v>
      </c>
      <c r="J227">
        <v>0.05</v>
      </c>
      <c r="K227">
        <v>400</v>
      </c>
      <c r="M227">
        <v>64</v>
      </c>
      <c r="N227" t="s">
        <v>12</v>
      </c>
      <c r="O227" t="s">
        <v>13</v>
      </c>
      <c r="P227">
        <v>5983648.4749999996</v>
      </c>
      <c r="Q227">
        <v>5983646.7479999997</v>
      </c>
      <c r="R227" s="2">
        <f t="shared" si="3"/>
        <v>3.2492818171258925E-8</v>
      </c>
    </row>
    <row r="228" spans="1:20" x14ac:dyDescent="0.25">
      <c r="A228" t="s">
        <v>89</v>
      </c>
      <c r="B228" t="s">
        <v>90</v>
      </c>
      <c r="C228" t="s">
        <v>42</v>
      </c>
      <c r="D228" s="6">
        <v>5</v>
      </c>
      <c r="E228" s="1">
        <v>1.5299999999999999E-5</v>
      </c>
      <c r="F228" s="1">
        <v>1.5299999999999999E-5</v>
      </c>
      <c r="G228">
        <v>0</v>
      </c>
      <c r="H228" s="9">
        <v>1000</v>
      </c>
      <c r="I228" s="7">
        <v>150</v>
      </c>
      <c r="J228">
        <v>0.15</v>
      </c>
      <c r="K228">
        <v>400</v>
      </c>
      <c r="M228">
        <v>64</v>
      </c>
      <c r="N228" t="s">
        <v>12</v>
      </c>
      <c r="O228" t="s">
        <v>13</v>
      </c>
      <c r="P228">
        <v>5983646.7479999997</v>
      </c>
      <c r="Q228">
        <v>5983635.3810000001</v>
      </c>
      <c r="R228" s="2">
        <f t="shared" si="3"/>
        <v>2.1386558433695084E-7</v>
      </c>
    </row>
    <row r="229" spans="1:20" x14ac:dyDescent="0.25">
      <c r="A229" t="s">
        <v>89</v>
      </c>
      <c r="B229" t="s">
        <v>90</v>
      </c>
      <c r="C229" t="s">
        <v>42</v>
      </c>
      <c r="D229" s="6">
        <v>6</v>
      </c>
      <c r="E229" s="1">
        <v>1.26E-4</v>
      </c>
      <c r="F229" s="3">
        <v>0.1</v>
      </c>
      <c r="G229">
        <v>3.95</v>
      </c>
      <c r="H229" s="9">
        <v>345</v>
      </c>
      <c r="I229" s="7">
        <v>0</v>
      </c>
      <c r="J229">
        <v>0</v>
      </c>
      <c r="K229">
        <v>400</v>
      </c>
      <c r="M229">
        <v>64</v>
      </c>
      <c r="N229" t="s">
        <v>12</v>
      </c>
      <c r="O229" t="s">
        <v>13</v>
      </c>
      <c r="P229">
        <v>5983633.3660000004</v>
      </c>
      <c r="Q229">
        <v>5983630.7759999996</v>
      </c>
      <c r="R229" s="2">
        <f t="shared" si="3"/>
        <v>4.8729819971718869E-8</v>
      </c>
      <c r="T229" t="s">
        <v>91</v>
      </c>
    </row>
    <row r="230" spans="1:20" x14ac:dyDescent="0.25">
      <c r="A230" t="s">
        <v>89</v>
      </c>
      <c r="B230" t="s">
        <v>90</v>
      </c>
      <c r="C230" t="s">
        <v>42</v>
      </c>
      <c r="D230" s="6">
        <v>7</v>
      </c>
      <c r="E230" s="1">
        <v>1.26E-4</v>
      </c>
      <c r="F230" s="3">
        <v>0.1</v>
      </c>
      <c r="G230">
        <v>3.95</v>
      </c>
      <c r="H230" s="9">
        <v>345</v>
      </c>
      <c r="I230" s="7">
        <v>250</v>
      </c>
      <c r="J230">
        <v>0.25</v>
      </c>
      <c r="K230">
        <v>400</v>
      </c>
      <c r="M230">
        <v>64</v>
      </c>
      <c r="N230" t="s">
        <v>12</v>
      </c>
      <c r="O230" t="s">
        <v>13</v>
      </c>
      <c r="P230">
        <v>5983630.7759999996</v>
      </c>
      <c r="Q230">
        <v>5983614.2290000003</v>
      </c>
      <c r="R230" s="2">
        <f t="shared" si="3"/>
        <v>3.1132522424534363E-7</v>
      </c>
    </row>
    <row r="231" spans="1:20" x14ac:dyDescent="0.25">
      <c r="A231" t="s">
        <v>89</v>
      </c>
      <c r="B231" t="s">
        <v>90</v>
      </c>
      <c r="C231" t="s">
        <v>42</v>
      </c>
      <c r="D231" s="6">
        <v>8</v>
      </c>
      <c r="E231" s="1">
        <v>1.26E-4</v>
      </c>
      <c r="F231" s="3">
        <v>0.1</v>
      </c>
      <c r="G231">
        <v>3.95</v>
      </c>
      <c r="H231" s="9">
        <v>345</v>
      </c>
      <c r="I231" s="7">
        <v>100</v>
      </c>
      <c r="J231">
        <v>0.1</v>
      </c>
      <c r="K231">
        <v>400</v>
      </c>
      <c r="M231">
        <v>64</v>
      </c>
      <c r="N231" t="s">
        <v>12</v>
      </c>
      <c r="O231" t="s">
        <v>13</v>
      </c>
      <c r="P231">
        <v>5983614.2290000003</v>
      </c>
      <c r="Q231">
        <v>5983607.6100000003</v>
      </c>
      <c r="R231" s="2">
        <f t="shared" si="3"/>
        <v>1.2453385262271876E-7</v>
      </c>
    </row>
    <row r="232" spans="1:20" x14ac:dyDescent="0.25">
      <c r="A232" t="s">
        <v>89</v>
      </c>
      <c r="B232" t="s">
        <v>90</v>
      </c>
      <c r="C232" t="s">
        <v>42</v>
      </c>
      <c r="D232" s="6">
        <v>9</v>
      </c>
      <c r="E232" s="1">
        <v>1.26E-4</v>
      </c>
      <c r="F232" s="3">
        <v>0.1</v>
      </c>
      <c r="G232">
        <v>3.95</v>
      </c>
      <c r="H232" s="9">
        <v>345</v>
      </c>
      <c r="I232" s="7">
        <v>200</v>
      </c>
      <c r="J232">
        <v>0.2</v>
      </c>
      <c r="K232">
        <v>400</v>
      </c>
      <c r="M232">
        <v>64</v>
      </c>
      <c r="N232" t="s">
        <v>12</v>
      </c>
      <c r="O232" t="s">
        <v>13</v>
      </c>
      <c r="P232">
        <v>5983607.6100000003</v>
      </c>
      <c r="Q232">
        <v>5983594.2280000001</v>
      </c>
      <c r="R232" s="2">
        <f t="shared" si="3"/>
        <v>2.517770079826652E-7</v>
      </c>
    </row>
    <row r="233" spans="1:20" x14ac:dyDescent="0.25">
      <c r="A233" t="s">
        <v>89</v>
      </c>
      <c r="B233" t="s">
        <v>90</v>
      </c>
      <c r="C233" t="s">
        <v>42</v>
      </c>
      <c r="D233" s="6">
        <v>10</v>
      </c>
      <c r="E233" s="1">
        <v>1.26E-4</v>
      </c>
      <c r="F233" s="3">
        <v>0.1</v>
      </c>
      <c r="G233">
        <v>3.95</v>
      </c>
      <c r="H233" s="9">
        <v>345</v>
      </c>
      <c r="I233" s="7">
        <v>50</v>
      </c>
      <c r="J233">
        <v>0.05</v>
      </c>
      <c r="K233">
        <v>400</v>
      </c>
      <c r="M233">
        <v>64</v>
      </c>
      <c r="N233" t="s">
        <v>12</v>
      </c>
      <c r="O233" t="s">
        <v>13</v>
      </c>
      <c r="P233">
        <v>5983592.2139999997</v>
      </c>
      <c r="Q233">
        <v>5983590.9189999998</v>
      </c>
      <c r="R233" s="2">
        <f t="shared" si="3"/>
        <v>2.4364909977098202E-8</v>
      </c>
    </row>
    <row r="234" spans="1:20" x14ac:dyDescent="0.25">
      <c r="A234" t="s">
        <v>89</v>
      </c>
      <c r="B234" t="s">
        <v>90</v>
      </c>
      <c r="C234" t="s">
        <v>42</v>
      </c>
      <c r="D234" s="6">
        <v>11</v>
      </c>
      <c r="E234" s="1">
        <v>1.26E-4</v>
      </c>
      <c r="F234" s="3">
        <v>0.1</v>
      </c>
      <c r="G234">
        <v>3.95</v>
      </c>
      <c r="H234" s="9">
        <v>345</v>
      </c>
      <c r="I234" s="7">
        <v>150</v>
      </c>
      <c r="J234">
        <v>0.15</v>
      </c>
      <c r="K234">
        <v>400</v>
      </c>
      <c r="M234">
        <v>64</v>
      </c>
      <c r="N234" t="s">
        <v>12</v>
      </c>
      <c r="O234" t="s">
        <v>13</v>
      </c>
      <c r="P234">
        <v>5983590.9189999998</v>
      </c>
      <c r="Q234">
        <v>5983580.8470000001</v>
      </c>
      <c r="R234" s="2">
        <f t="shared" si="3"/>
        <v>1.8950067435985264E-7</v>
      </c>
      <c r="T234" t="s">
        <v>92</v>
      </c>
    </row>
    <row r="235" spans="1:20" x14ac:dyDescent="0.25">
      <c r="A235" t="s">
        <v>89</v>
      </c>
      <c r="B235" t="s">
        <v>90</v>
      </c>
      <c r="C235" t="s">
        <v>42</v>
      </c>
      <c r="D235" s="6">
        <v>12</v>
      </c>
      <c r="E235" s="1">
        <v>1.26E-4</v>
      </c>
      <c r="F235" s="4">
        <v>0.05</v>
      </c>
      <c r="G235">
        <v>2.11</v>
      </c>
      <c r="H235" s="9">
        <v>345</v>
      </c>
      <c r="I235" s="7">
        <v>0</v>
      </c>
      <c r="J235">
        <v>0</v>
      </c>
      <c r="K235">
        <v>400</v>
      </c>
      <c r="M235">
        <v>64</v>
      </c>
      <c r="N235" t="s">
        <v>12</v>
      </c>
      <c r="O235" t="s">
        <v>13</v>
      </c>
      <c r="P235">
        <v>5983580.5590000004</v>
      </c>
      <c r="Q235">
        <v>5983577.1059999997</v>
      </c>
      <c r="R235" s="2">
        <f t="shared" si="3"/>
        <v>6.4966821754656356E-8</v>
      </c>
      <c r="T235" t="s">
        <v>93</v>
      </c>
    </row>
    <row r="236" spans="1:20" x14ac:dyDescent="0.25">
      <c r="A236" t="s">
        <v>89</v>
      </c>
      <c r="B236" t="s">
        <v>90</v>
      </c>
      <c r="C236" t="s">
        <v>42</v>
      </c>
      <c r="D236" s="6">
        <v>13</v>
      </c>
      <c r="E236" s="1">
        <v>1.26E-4</v>
      </c>
      <c r="F236" s="4">
        <v>0.05</v>
      </c>
      <c r="G236">
        <v>2.11</v>
      </c>
      <c r="H236" s="9">
        <v>345</v>
      </c>
      <c r="I236" s="7">
        <v>250</v>
      </c>
      <c r="J236">
        <v>0.25</v>
      </c>
      <c r="K236">
        <v>400</v>
      </c>
      <c r="M236">
        <v>64</v>
      </c>
      <c r="N236" t="s">
        <v>12</v>
      </c>
      <c r="O236" t="s">
        <v>13</v>
      </c>
      <c r="P236">
        <v>5983577.1059999997</v>
      </c>
      <c r="Q236">
        <v>5983559.983</v>
      </c>
      <c r="R236" s="2">
        <f t="shared" si="3"/>
        <v>3.2216243517673211E-7</v>
      </c>
    </row>
    <row r="237" spans="1:20" x14ac:dyDescent="0.25">
      <c r="A237" t="s">
        <v>89</v>
      </c>
      <c r="B237" t="s">
        <v>90</v>
      </c>
      <c r="C237" t="s">
        <v>42</v>
      </c>
      <c r="D237" s="6">
        <v>14</v>
      </c>
      <c r="E237" s="1">
        <v>1.26E-4</v>
      </c>
      <c r="F237" s="4">
        <v>0.05</v>
      </c>
      <c r="G237">
        <v>2.11</v>
      </c>
      <c r="H237" s="9">
        <v>345</v>
      </c>
      <c r="I237" s="7">
        <v>100</v>
      </c>
      <c r="J237">
        <v>0.1</v>
      </c>
      <c r="K237">
        <v>400</v>
      </c>
      <c r="M237">
        <v>64</v>
      </c>
      <c r="N237" t="s">
        <v>12</v>
      </c>
      <c r="O237" t="s">
        <v>13</v>
      </c>
      <c r="P237">
        <v>5983559.983</v>
      </c>
      <c r="Q237">
        <v>5983552.6449999996</v>
      </c>
      <c r="R237" s="2">
        <f t="shared" si="3"/>
        <v>1.3806155168595097E-7</v>
      </c>
    </row>
    <row r="238" spans="1:20" x14ac:dyDescent="0.25">
      <c r="A238" t="s">
        <v>89</v>
      </c>
      <c r="B238" t="s">
        <v>90</v>
      </c>
      <c r="C238" t="s">
        <v>42</v>
      </c>
      <c r="D238" s="6">
        <v>15</v>
      </c>
      <c r="E238" s="1">
        <v>1.26E-4</v>
      </c>
      <c r="F238" s="4">
        <v>0.05</v>
      </c>
      <c r="G238">
        <v>2.11</v>
      </c>
      <c r="H238" s="9">
        <v>345</v>
      </c>
      <c r="I238" s="7">
        <v>200</v>
      </c>
      <c r="J238">
        <v>0.2</v>
      </c>
      <c r="K238">
        <v>400</v>
      </c>
      <c r="M238">
        <v>64</v>
      </c>
      <c r="N238" t="s">
        <v>12</v>
      </c>
      <c r="O238" t="s">
        <v>13</v>
      </c>
      <c r="P238">
        <v>5983552.6449999996</v>
      </c>
      <c r="Q238">
        <v>5983538.1119999997</v>
      </c>
      <c r="R238" s="2">
        <f t="shared" si="3"/>
        <v>2.7343261522253572E-7</v>
      </c>
    </row>
    <row r="239" spans="1:20" x14ac:dyDescent="0.25">
      <c r="A239" t="s">
        <v>89</v>
      </c>
      <c r="B239" t="s">
        <v>90</v>
      </c>
      <c r="C239" t="s">
        <v>42</v>
      </c>
      <c r="D239" s="6">
        <v>16</v>
      </c>
      <c r="E239" s="1">
        <v>1.26E-4</v>
      </c>
      <c r="F239" s="4">
        <v>0.05</v>
      </c>
      <c r="G239">
        <v>2.11</v>
      </c>
      <c r="H239" s="9">
        <v>345</v>
      </c>
      <c r="I239" s="7">
        <v>50</v>
      </c>
      <c r="J239">
        <v>0.05</v>
      </c>
      <c r="K239">
        <v>400</v>
      </c>
      <c r="M239">
        <v>64</v>
      </c>
      <c r="N239" t="s">
        <v>12</v>
      </c>
      <c r="O239" t="s">
        <v>13</v>
      </c>
      <c r="P239">
        <v>5983538.1119999997</v>
      </c>
      <c r="Q239">
        <v>5983535.8099999996</v>
      </c>
      <c r="R239" s="2">
        <f t="shared" si="3"/>
        <v>4.3311214497263416E-8</v>
      </c>
    </row>
    <row r="240" spans="1:20" x14ac:dyDescent="0.25">
      <c r="A240" t="s">
        <v>89</v>
      </c>
      <c r="B240" t="s">
        <v>90</v>
      </c>
      <c r="C240" t="s">
        <v>42</v>
      </c>
      <c r="D240" s="6">
        <v>17</v>
      </c>
      <c r="E240" s="1">
        <v>1.26E-4</v>
      </c>
      <c r="F240" s="4">
        <v>0.05</v>
      </c>
      <c r="G240">
        <v>2.11</v>
      </c>
      <c r="H240" s="9">
        <v>345</v>
      </c>
      <c r="I240" s="7">
        <v>150</v>
      </c>
      <c r="J240">
        <v>0.15</v>
      </c>
      <c r="K240">
        <v>400</v>
      </c>
      <c r="M240">
        <v>64</v>
      </c>
      <c r="N240" t="s">
        <v>12</v>
      </c>
      <c r="O240" t="s">
        <v>13</v>
      </c>
      <c r="P240">
        <v>5983535.8099999996</v>
      </c>
      <c r="Q240">
        <v>5983524.5870000003</v>
      </c>
      <c r="R240" s="2">
        <f t="shared" si="3"/>
        <v>2.1115628159972312E-7</v>
      </c>
      <c r="T240" t="s">
        <v>81</v>
      </c>
    </row>
    <row r="241" spans="1:20" x14ac:dyDescent="0.25">
      <c r="A241" t="s">
        <v>89</v>
      </c>
      <c r="B241" t="s">
        <v>90</v>
      </c>
      <c r="C241" t="s">
        <v>42</v>
      </c>
      <c r="D241" s="6">
        <v>18</v>
      </c>
      <c r="E241" s="1">
        <v>1.26E-4</v>
      </c>
      <c r="F241" s="5">
        <v>0.2</v>
      </c>
      <c r="G241">
        <v>8.1</v>
      </c>
      <c r="H241" s="9">
        <v>345</v>
      </c>
      <c r="I241" s="7">
        <v>0</v>
      </c>
      <c r="J241">
        <v>0</v>
      </c>
      <c r="K241">
        <v>400</v>
      </c>
      <c r="M241">
        <v>64</v>
      </c>
      <c r="N241" t="s">
        <v>12</v>
      </c>
      <c r="O241" t="s">
        <v>13</v>
      </c>
      <c r="P241">
        <v>5983524.2999999998</v>
      </c>
      <c r="Q241">
        <v>5983521.1339999996</v>
      </c>
      <c r="R241" s="2">
        <f t="shared" si="3"/>
        <v>5.9567030885584854E-8</v>
      </c>
      <c r="T241" t="s">
        <v>94</v>
      </c>
    </row>
    <row r="242" spans="1:20" x14ac:dyDescent="0.25">
      <c r="A242" t="s">
        <v>89</v>
      </c>
      <c r="B242" t="s">
        <v>90</v>
      </c>
      <c r="C242" t="s">
        <v>42</v>
      </c>
      <c r="D242" s="6">
        <v>19</v>
      </c>
      <c r="E242" s="1">
        <v>1.26E-4</v>
      </c>
      <c r="F242" s="5">
        <v>0.2</v>
      </c>
      <c r="G242">
        <v>8.1</v>
      </c>
      <c r="H242" s="9">
        <v>345</v>
      </c>
      <c r="I242" s="7">
        <v>250</v>
      </c>
      <c r="J242">
        <v>0.25</v>
      </c>
      <c r="K242">
        <v>400</v>
      </c>
      <c r="M242">
        <v>64</v>
      </c>
      <c r="N242" t="s">
        <v>12</v>
      </c>
      <c r="O242" t="s">
        <v>13</v>
      </c>
      <c r="P242">
        <v>5983521.1339999996</v>
      </c>
      <c r="Q242">
        <v>5983504.7309999997</v>
      </c>
      <c r="R242" s="2">
        <f t="shared" si="3"/>
        <v>3.0861592152563841E-7</v>
      </c>
    </row>
    <row r="243" spans="1:20" x14ac:dyDescent="0.25">
      <c r="A243" t="s">
        <v>89</v>
      </c>
      <c r="B243" t="s">
        <v>90</v>
      </c>
      <c r="C243" t="s">
        <v>42</v>
      </c>
      <c r="D243" s="6">
        <v>20</v>
      </c>
      <c r="E243" s="1">
        <v>1.26E-4</v>
      </c>
      <c r="F243" s="5">
        <v>0.2</v>
      </c>
      <c r="G243">
        <v>8.1</v>
      </c>
      <c r="H243" s="9">
        <v>345</v>
      </c>
      <c r="I243" s="7">
        <v>100</v>
      </c>
      <c r="J243">
        <v>0.1</v>
      </c>
      <c r="K243">
        <v>400</v>
      </c>
      <c r="M243">
        <v>64</v>
      </c>
      <c r="N243" t="s">
        <v>12</v>
      </c>
      <c r="O243" t="s">
        <v>13</v>
      </c>
      <c r="P243">
        <v>5983504.7309999997</v>
      </c>
      <c r="Q243">
        <v>5983498.2570000002</v>
      </c>
      <c r="R243" s="2">
        <f t="shared" si="3"/>
        <v>1.2180573528010706E-7</v>
      </c>
    </row>
    <row r="244" spans="1:20" x14ac:dyDescent="0.25">
      <c r="A244" t="s">
        <v>89</v>
      </c>
      <c r="B244" t="s">
        <v>90</v>
      </c>
      <c r="C244" t="s">
        <v>42</v>
      </c>
      <c r="D244" s="6">
        <v>21</v>
      </c>
      <c r="E244" s="1">
        <v>1.26E-4</v>
      </c>
      <c r="F244" s="5">
        <v>0.2</v>
      </c>
      <c r="G244">
        <v>8.1</v>
      </c>
      <c r="H244" s="9">
        <v>345</v>
      </c>
      <c r="I244" s="7">
        <v>200</v>
      </c>
      <c r="J244">
        <v>0.2</v>
      </c>
      <c r="K244">
        <v>400</v>
      </c>
      <c r="M244">
        <v>64</v>
      </c>
      <c r="N244" t="s">
        <v>12</v>
      </c>
      <c r="O244" t="s">
        <v>13</v>
      </c>
      <c r="P244">
        <v>5983498.2570000002</v>
      </c>
      <c r="Q244">
        <v>5983485.0190000003</v>
      </c>
      <c r="R244" s="2">
        <f t="shared" si="3"/>
        <v>2.4906770524543752E-7</v>
      </c>
    </row>
    <row r="245" spans="1:20" x14ac:dyDescent="0.25">
      <c r="A245" t="s">
        <v>89</v>
      </c>
      <c r="B245" t="s">
        <v>90</v>
      </c>
      <c r="C245" t="s">
        <v>42</v>
      </c>
      <c r="D245" s="6">
        <v>22</v>
      </c>
      <c r="E245" s="1">
        <v>1.26E-4</v>
      </c>
      <c r="F245" s="5">
        <v>0.2</v>
      </c>
      <c r="G245">
        <v>8.1</v>
      </c>
      <c r="H245" s="9">
        <v>345</v>
      </c>
      <c r="I245" s="7">
        <v>50</v>
      </c>
      <c r="J245">
        <v>0.05</v>
      </c>
      <c r="K245">
        <v>400</v>
      </c>
      <c r="M245">
        <v>64</v>
      </c>
      <c r="N245" t="s">
        <v>12</v>
      </c>
      <c r="O245" t="s">
        <v>13</v>
      </c>
      <c r="P245">
        <v>5983485.0190000003</v>
      </c>
      <c r="Q245">
        <v>5983483.4369999999</v>
      </c>
      <c r="R245" s="2">
        <f t="shared" si="3"/>
        <v>2.9764700846169704E-8</v>
      </c>
    </row>
    <row r="246" spans="1:20" x14ac:dyDescent="0.25">
      <c r="A246" t="s">
        <v>89</v>
      </c>
      <c r="B246" t="s">
        <v>90</v>
      </c>
      <c r="C246" t="s">
        <v>42</v>
      </c>
      <c r="D246" s="6">
        <v>23</v>
      </c>
      <c r="E246" s="1">
        <v>1.26E-4</v>
      </c>
      <c r="F246" s="5">
        <v>0.2</v>
      </c>
      <c r="G246">
        <v>8.1</v>
      </c>
      <c r="H246" s="9">
        <v>345</v>
      </c>
      <c r="I246" s="7">
        <v>150</v>
      </c>
      <c r="J246">
        <v>0.15</v>
      </c>
      <c r="K246">
        <v>400</v>
      </c>
      <c r="M246">
        <v>64</v>
      </c>
      <c r="N246" t="s">
        <v>12</v>
      </c>
      <c r="O246" t="s">
        <v>13</v>
      </c>
      <c r="P246">
        <v>5983483.4369999999</v>
      </c>
      <c r="Q246">
        <v>5983473.6529999999</v>
      </c>
      <c r="R246" s="2">
        <f t="shared" si="3"/>
        <v>1.8408206890291965E-7</v>
      </c>
      <c r="T246" t="s">
        <v>94</v>
      </c>
    </row>
    <row r="247" spans="1:20" x14ac:dyDescent="0.25">
      <c r="A247" t="s">
        <v>89</v>
      </c>
      <c r="B247" t="s">
        <v>90</v>
      </c>
      <c r="C247" t="s">
        <v>42</v>
      </c>
      <c r="D247" s="6">
        <v>24</v>
      </c>
      <c r="E247" s="1">
        <v>1.26E-4</v>
      </c>
      <c r="F247" s="5">
        <v>0.3</v>
      </c>
      <c r="G247">
        <v>12.8</v>
      </c>
      <c r="H247" s="9">
        <v>345</v>
      </c>
      <c r="I247" s="7">
        <v>0</v>
      </c>
      <c r="J247">
        <v>0</v>
      </c>
      <c r="K247">
        <v>400</v>
      </c>
      <c r="M247">
        <v>64</v>
      </c>
      <c r="N247" t="s">
        <v>12</v>
      </c>
      <c r="O247" t="s">
        <v>13</v>
      </c>
      <c r="P247">
        <v>5983473.3650000002</v>
      </c>
      <c r="Q247">
        <v>5983470.9189999998</v>
      </c>
      <c r="R247" s="2">
        <f t="shared" si="3"/>
        <v>4.6020517234491146E-8</v>
      </c>
      <c r="T247" t="s">
        <v>63</v>
      </c>
    </row>
    <row r="248" spans="1:20" x14ac:dyDescent="0.25">
      <c r="A248" t="s">
        <v>89</v>
      </c>
      <c r="B248" t="s">
        <v>90</v>
      </c>
      <c r="C248" t="s">
        <v>42</v>
      </c>
      <c r="D248" s="6">
        <v>25</v>
      </c>
      <c r="E248" s="1">
        <v>1.26E-4</v>
      </c>
      <c r="F248" s="5">
        <v>0.3</v>
      </c>
      <c r="G248">
        <v>12.8</v>
      </c>
      <c r="H248" s="9">
        <v>345</v>
      </c>
      <c r="I248" s="7">
        <v>250</v>
      </c>
      <c r="J248">
        <v>0.25</v>
      </c>
      <c r="K248">
        <v>400</v>
      </c>
      <c r="M248">
        <v>64</v>
      </c>
      <c r="N248" t="s">
        <v>12</v>
      </c>
      <c r="O248" t="s">
        <v>13</v>
      </c>
      <c r="P248">
        <v>5983470.9189999998</v>
      </c>
      <c r="Q248">
        <v>5983456.2429999998</v>
      </c>
      <c r="R248" s="2">
        <f t="shared" si="3"/>
        <v>2.7612310335437947E-7</v>
      </c>
    </row>
    <row r="249" spans="1:20" x14ac:dyDescent="0.25">
      <c r="A249" t="s">
        <v>89</v>
      </c>
      <c r="B249" t="s">
        <v>90</v>
      </c>
      <c r="C249" t="s">
        <v>42</v>
      </c>
      <c r="D249" s="6">
        <v>26</v>
      </c>
      <c r="E249" s="1">
        <v>1.26E-4</v>
      </c>
      <c r="F249" s="5">
        <v>0.3</v>
      </c>
      <c r="G249">
        <v>12.8</v>
      </c>
      <c r="H249" s="9">
        <v>345</v>
      </c>
      <c r="I249" s="7">
        <v>100</v>
      </c>
      <c r="J249">
        <v>0.1</v>
      </c>
      <c r="K249">
        <v>400</v>
      </c>
      <c r="M249">
        <v>64</v>
      </c>
      <c r="N249" t="s">
        <v>12</v>
      </c>
      <c r="O249" t="s">
        <v>13</v>
      </c>
      <c r="P249">
        <v>5983456.2429999998</v>
      </c>
      <c r="Q249">
        <v>5983450.4879999999</v>
      </c>
      <c r="R249" s="2">
        <f t="shared" si="3"/>
        <v>1.0827803623439731E-7</v>
      </c>
    </row>
    <row r="250" spans="1:20" x14ac:dyDescent="0.25">
      <c r="A250" t="s">
        <v>89</v>
      </c>
      <c r="B250" t="s">
        <v>90</v>
      </c>
      <c r="C250" t="s">
        <v>42</v>
      </c>
      <c r="D250" s="6">
        <v>27</v>
      </c>
      <c r="E250" s="1">
        <v>1.26E-4</v>
      </c>
      <c r="F250" s="5">
        <v>0.3</v>
      </c>
      <c r="G250">
        <v>12.8</v>
      </c>
      <c r="H250" s="9">
        <v>345</v>
      </c>
      <c r="I250" s="7">
        <v>200</v>
      </c>
      <c r="J250">
        <v>0.2</v>
      </c>
      <c r="K250">
        <v>400</v>
      </c>
      <c r="M250">
        <v>64</v>
      </c>
      <c r="N250" t="s">
        <v>12</v>
      </c>
      <c r="O250" t="s">
        <v>13</v>
      </c>
      <c r="P250">
        <v>5983450.4879999999</v>
      </c>
      <c r="Q250">
        <v>5983438.4019999998</v>
      </c>
      <c r="R250" s="2">
        <f t="shared" si="3"/>
        <v>2.2739328340018307E-7</v>
      </c>
    </row>
    <row r="251" spans="1:20" x14ac:dyDescent="0.25">
      <c r="A251" t="s">
        <v>89</v>
      </c>
      <c r="B251" t="s">
        <v>90</v>
      </c>
      <c r="C251" t="s">
        <v>42</v>
      </c>
      <c r="D251" s="6">
        <v>28</v>
      </c>
      <c r="E251" s="1">
        <v>1.26E-4</v>
      </c>
      <c r="F251" s="5">
        <v>0.3</v>
      </c>
      <c r="G251">
        <v>12.8</v>
      </c>
      <c r="H251" s="9">
        <v>345</v>
      </c>
      <c r="I251" s="7">
        <v>50</v>
      </c>
      <c r="J251">
        <v>0.05</v>
      </c>
      <c r="K251">
        <v>400</v>
      </c>
      <c r="M251">
        <v>64</v>
      </c>
      <c r="N251" t="s">
        <v>12</v>
      </c>
      <c r="O251" t="s">
        <v>13</v>
      </c>
      <c r="P251">
        <v>5983438.4019999998</v>
      </c>
      <c r="Q251">
        <v>5983436.9630000005</v>
      </c>
      <c r="R251" s="2">
        <f t="shared" si="3"/>
        <v>2.7074212696803468E-8</v>
      </c>
    </row>
    <row r="252" spans="1:20" x14ac:dyDescent="0.25">
      <c r="A252" t="s">
        <v>89</v>
      </c>
      <c r="B252" t="s">
        <v>90</v>
      </c>
      <c r="C252" t="s">
        <v>42</v>
      </c>
      <c r="D252" s="6">
        <v>29</v>
      </c>
      <c r="E252" s="1">
        <v>1.26E-4</v>
      </c>
      <c r="F252" s="5">
        <v>0.3</v>
      </c>
      <c r="G252">
        <v>12.8</v>
      </c>
      <c r="H252" s="9">
        <v>345</v>
      </c>
      <c r="I252" s="7">
        <v>150</v>
      </c>
      <c r="J252">
        <v>0.15</v>
      </c>
      <c r="K252">
        <v>400</v>
      </c>
      <c r="M252">
        <v>64</v>
      </c>
      <c r="N252" t="s">
        <v>12</v>
      </c>
      <c r="O252" t="s">
        <v>13</v>
      </c>
      <c r="P252">
        <v>5983436.9630000005</v>
      </c>
      <c r="Q252">
        <v>5983428.3300000001</v>
      </c>
      <c r="R252" s="2">
        <f t="shared" si="3"/>
        <v>1.6242646166304917E-7</v>
      </c>
      <c r="T252" t="s">
        <v>95</v>
      </c>
    </row>
    <row r="253" spans="1:20" x14ac:dyDescent="0.25">
      <c r="A253" t="s">
        <v>89</v>
      </c>
      <c r="B253" t="s">
        <v>90</v>
      </c>
      <c r="C253" t="s">
        <v>42</v>
      </c>
      <c r="D253" s="6">
        <v>30</v>
      </c>
      <c r="E253" s="1">
        <v>1.26E-4</v>
      </c>
      <c r="F253" s="5">
        <v>7.4999999999999997E-2</v>
      </c>
      <c r="G253">
        <v>3</v>
      </c>
      <c r="H253" s="9">
        <v>345</v>
      </c>
      <c r="I253" s="7">
        <v>0</v>
      </c>
      <c r="J253">
        <v>0</v>
      </c>
      <c r="K253">
        <v>400</v>
      </c>
      <c r="M253">
        <v>64</v>
      </c>
      <c r="N253" t="s">
        <v>12</v>
      </c>
      <c r="O253" t="s">
        <v>13</v>
      </c>
      <c r="P253">
        <v>5983424.733</v>
      </c>
      <c r="Q253">
        <v>5983421.568</v>
      </c>
      <c r="R253" s="2">
        <f t="shared" si="3"/>
        <v>5.9548216280200902E-8</v>
      </c>
      <c r="T253" t="s">
        <v>96</v>
      </c>
    </row>
    <row r="254" spans="1:20" x14ac:dyDescent="0.25">
      <c r="A254" t="s">
        <v>89</v>
      </c>
      <c r="B254" t="s">
        <v>90</v>
      </c>
      <c r="C254" t="s">
        <v>42</v>
      </c>
      <c r="D254" s="6">
        <v>31</v>
      </c>
      <c r="E254" s="1">
        <v>1.26E-4</v>
      </c>
      <c r="F254" s="5">
        <v>7.4999999999999997E-2</v>
      </c>
      <c r="G254">
        <v>3</v>
      </c>
      <c r="H254" s="9">
        <v>345</v>
      </c>
      <c r="I254" s="7">
        <v>250</v>
      </c>
      <c r="J254">
        <v>0.25</v>
      </c>
      <c r="K254">
        <v>400</v>
      </c>
      <c r="M254">
        <v>64</v>
      </c>
      <c r="N254" t="s">
        <v>12</v>
      </c>
      <c r="O254" t="s">
        <v>13</v>
      </c>
      <c r="P254">
        <v>5983421.568</v>
      </c>
      <c r="Q254">
        <v>5983403.727</v>
      </c>
      <c r="R254" s="2">
        <f t="shared" si="3"/>
        <v>3.3567131963458036E-7</v>
      </c>
    </row>
    <row r="255" spans="1:20" x14ac:dyDescent="0.25">
      <c r="A255" t="s">
        <v>89</v>
      </c>
      <c r="B255" t="s">
        <v>90</v>
      </c>
      <c r="C255" t="s">
        <v>42</v>
      </c>
      <c r="D255" s="6">
        <v>32</v>
      </c>
      <c r="E255" s="1">
        <v>1.26E-4</v>
      </c>
      <c r="F255" s="5">
        <v>7.4999999999999997E-2</v>
      </c>
      <c r="G255">
        <v>3</v>
      </c>
      <c r="H255" s="9">
        <v>345</v>
      </c>
      <c r="I255" s="7">
        <v>100</v>
      </c>
      <c r="J255">
        <v>0.1</v>
      </c>
      <c r="K255">
        <v>400</v>
      </c>
      <c r="M255">
        <v>64</v>
      </c>
      <c r="N255" t="s">
        <v>12</v>
      </c>
      <c r="O255" t="s">
        <v>13</v>
      </c>
      <c r="P255">
        <v>5983403.727</v>
      </c>
      <c r="Q255">
        <v>5983396.1009999998</v>
      </c>
      <c r="R255" s="2">
        <f t="shared" si="3"/>
        <v>1.4348015714288395E-7</v>
      </c>
    </row>
    <row r="256" spans="1:20" x14ac:dyDescent="0.25">
      <c r="A256" t="s">
        <v>89</v>
      </c>
      <c r="B256" t="s">
        <v>90</v>
      </c>
      <c r="C256" t="s">
        <v>42</v>
      </c>
      <c r="D256" s="6">
        <v>33</v>
      </c>
      <c r="E256" s="1">
        <v>1.26E-4</v>
      </c>
      <c r="F256" s="5">
        <v>7.4999999999999997E-2</v>
      </c>
      <c r="G256">
        <v>3</v>
      </c>
      <c r="H256" s="9">
        <v>345</v>
      </c>
      <c r="I256" s="7">
        <v>200</v>
      </c>
      <c r="J256">
        <v>0.2</v>
      </c>
      <c r="K256">
        <v>400</v>
      </c>
      <c r="M256">
        <v>64</v>
      </c>
      <c r="N256" t="s">
        <v>12</v>
      </c>
      <c r="O256" t="s">
        <v>13</v>
      </c>
      <c r="P256">
        <v>5983396.1009999998</v>
      </c>
      <c r="Q256">
        <v>5983381.2819999997</v>
      </c>
      <c r="R256" s="2">
        <f t="shared" si="3"/>
        <v>2.7881359148622322E-7</v>
      </c>
    </row>
    <row r="257" spans="1:20" x14ac:dyDescent="0.25">
      <c r="A257" t="s">
        <v>89</v>
      </c>
      <c r="B257" t="s">
        <v>90</v>
      </c>
      <c r="C257" t="s">
        <v>42</v>
      </c>
      <c r="D257" s="6">
        <v>34</v>
      </c>
      <c r="E257" s="1">
        <v>1.26E-4</v>
      </c>
      <c r="F257" s="5">
        <v>7.4999999999999997E-2</v>
      </c>
      <c r="G257">
        <v>3</v>
      </c>
      <c r="H257" s="9">
        <v>345</v>
      </c>
      <c r="I257" s="7">
        <v>50</v>
      </c>
      <c r="J257">
        <v>0.05</v>
      </c>
      <c r="K257">
        <v>400</v>
      </c>
      <c r="M257">
        <v>64</v>
      </c>
      <c r="N257" t="s">
        <v>12</v>
      </c>
      <c r="O257" t="s">
        <v>13</v>
      </c>
      <c r="P257">
        <v>5983381.2819999997</v>
      </c>
      <c r="Q257">
        <v>5983378.6919999998</v>
      </c>
      <c r="R257" s="2">
        <f t="shared" si="3"/>
        <v>4.8729819954196405E-8</v>
      </c>
    </row>
    <row r="258" spans="1:20" x14ac:dyDescent="0.25">
      <c r="A258" t="s">
        <v>89</v>
      </c>
      <c r="B258" t="s">
        <v>90</v>
      </c>
      <c r="C258" t="s">
        <v>42</v>
      </c>
      <c r="D258" s="6">
        <v>35</v>
      </c>
      <c r="E258" s="1">
        <v>1.26E-4</v>
      </c>
      <c r="F258" s="5">
        <v>7.4999999999999997E-2</v>
      </c>
      <c r="G258">
        <v>3</v>
      </c>
      <c r="H258" s="9">
        <v>345</v>
      </c>
      <c r="I258" s="7">
        <v>150</v>
      </c>
      <c r="J258">
        <v>0.15</v>
      </c>
      <c r="K258">
        <v>400</v>
      </c>
      <c r="M258">
        <v>64</v>
      </c>
      <c r="N258" t="s">
        <v>12</v>
      </c>
      <c r="O258" t="s">
        <v>13</v>
      </c>
      <c r="P258">
        <v>5983378.6919999998</v>
      </c>
      <c r="Q258">
        <v>5983368.1890000002</v>
      </c>
      <c r="R258" s="2">
        <f t="shared" si="3"/>
        <v>1.976097679486294E-7</v>
      </c>
      <c r="T258" t="s">
        <v>75</v>
      </c>
    </row>
    <row r="259" spans="1:20" x14ac:dyDescent="0.25">
      <c r="A259" t="s">
        <v>89</v>
      </c>
      <c r="B259" t="s">
        <v>90</v>
      </c>
      <c r="C259" t="s">
        <v>42</v>
      </c>
      <c r="D259" s="6">
        <v>36</v>
      </c>
      <c r="E259" s="1">
        <v>1.26E-4</v>
      </c>
      <c r="F259" s="5">
        <v>2.5000000000000001E-2</v>
      </c>
      <c r="G259">
        <v>1.35</v>
      </c>
      <c r="H259" s="9">
        <v>345</v>
      </c>
      <c r="I259" s="7">
        <v>0</v>
      </c>
      <c r="J259">
        <v>0</v>
      </c>
      <c r="K259">
        <v>400</v>
      </c>
      <c r="M259">
        <v>64</v>
      </c>
      <c r="N259" t="s">
        <v>12</v>
      </c>
      <c r="O259" t="s">
        <v>13</v>
      </c>
      <c r="P259">
        <v>5983367.6129999999</v>
      </c>
      <c r="Q259">
        <v>5983363.4409999996</v>
      </c>
      <c r="R259" s="2">
        <f t="shared" si="3"/>
        <v>7.8494520800366112E-8</v>
      </c>
      <c r="T259" t="s">
        <v>97</v>
      </c>
    </row>
    <row r="260" spans="1:20" x14ac:dyDescent="0.25">
      <c r="A260" t="s">
        <v>89</v>
      </c>
      <c r="B260" t="s">
        <v>90</v>
      </c>
      <c r="C260" t="s">
        <v>42</v>
      </c>
      <c r="D260" s="6">
        <v>37</v>
      </c>
      <c r="E260" s="1">
        <v>1.26E-4</v>
      </c>
      <c r="F260" s="5">
        <v>2.5000000000000001E-2</v>
      </c>
      <c r="G260">
        <v>1.35</v>
      </c>
      <c r="H260" s="9">
        <v>345</v>
      </c>
      <c r="I260" s="7">
        <v>250</v>
      </c>
      <c r="J260">
        <v>0.25</v>
      </c>
      <c r="K260">
        <v>400</v>
      </c>
      <c r="M260">
        <v>64</v>
      </c>
      <c r="N260" t="s">
        <v>12</v>
      </c>
      <c r="O260" t="s">
        <v>13</v>
      </c>
      <c r="P260">
        <v>5983363.4409999996</v>
      </c>
      <c r="Q260">
        <v>5983345.5999999996</v>
      </c>
      <c r="R260" s="2">
        <f t="shared" si="3"/>
        <v>3.3567131963458036E-7</v>
      </c>
    </row>
    <row r="261" spans="1:20" x14ac:dyDescent="0.25">
      <c r="A261" t="s">
        <v>89</v>
      </c>
      <c r="B261" t="s">
        <v>90</v>
      </c>
      <c r="C261" t="s">
        <v>42</v>
      </c>
      <c r="D261" s="6">
        <v>38</v>
      </c>
      <c r="E261" s="1">
        <v>1.26E-4</v>
      </c>
      <c r="F261" s="5">
        <v>2.5000000000000001E-2</v>
      </c>
      <c r="G261">
        <v>1.35</v>
      </c>
      <c r="H261" s="9">
        <v>345</v>
      </c>
      <c r="I261" s="7">
        <v>100</v>
      </c>
      <c r="J261">
        <v>0.1</v>
      </c>
      <c r="K261">
        <v>400</v>
      </c>
      <c r="M261">
        <v>64</v>
      </c>
      <c r="N261" t="s">
        <v>12</v>
      </c>
      <c r="O261" t="s">
        <v>13</v>
      </c>
      <c r="P261">
        <v>5983345.5999999996</v>
      </c>
      <c r="Q261">
        <v>5983337.3990000002</v>
      </c>
      <c r="R261" s="2">
        <f t="shared" ref="R261:R265" si="4">0.0000000188146023 * ( P261 - Q261 )</f>
        <v>1.5429855345136598E-7</v>
      </c>
    </row>
    <row r="262" spans="1:20" x14ac:dyDescent="0.25">
      <c r="A262" t="s">
        <v>89</v>
      </c>
      <c r="B262" t="s">
        <v>90</v>
      </c>
      <c r="C262" t="s">
        <v>42</v>
      </c>
      <c r="D262" s="6">
        <v>39</v>
      </c>
      <c r="E262" s="1">
        <v>1.26E-4</v>
      </c>
      <c r="F262" s="5">
        <v>2.5000000000000001E-2</v>
      </c>
      <c r="G262">
        <v>1.35</v>
      </c>
      <c r="H262" s="9">
        <v>345</v>
      </c>
      <c r="I262" s="7">
        <v>200</v>
      </c>
      <c r="J262">
        <v>0.2</v>
      </c>
      <c r="K262">
        <v>400</v>
      </c>
      <c r="M262">
        <v>64</v>
      </c>
      <c r="N262" t="s">
        <v>12</v>
      </c>
      <c r="O262" t="s">
        <v>13</v>
      </c>
      <c r="P262">
        <v>5983337.3990000002</v>
      </c>
      <c r="Q262">
        <v>5983322.7240000004</v>
      </c>
      <c r="R262" s="2">
        <f t="shared" si="4"/>
        <v>2.7610428874899554E-7</v>
      </c>
    </row>
    <row r="263" spans="1:20" x14ac:dyDescent="0.25">
      <c r="A263" t="s">
        <v>89</v>
      </c>
      <c r="B263" t="s">
        <v>90</v>
      </c>
      <c r="C263" t="s">
        <v>42</v>
      </c>
      <c r="D263" s="6">
        <v>40</v>
      </c>
      <c r="E263" s="1">
        <v>1.26E-4</v>
      </c>
      <c r="F263" s="5">
        <v>2.5000000000000001E-2</v>
      </c>
      <c r="G263">
        <v>1.35</v>
      </c>
      <c r="H263" s="9">
        <v>345</v>
      </c>
      <c r="I263" s="7">
        <v>50</v>
      </c>
      <c r="J263">
        <v>0.05</v>
      </c>
      <c r="K263">
        <v>400</v>
      </c>
      <c r="M263">
        <v>64</v>
      </c>
      <c r="N263" t="s">
        <v>12</v>
      </c>
      <c r="O263" t="s">
        <v>13</v>
      </c>
      <c r="P263">
        <v>5983322.7240000004</v>
      </c>
      <c r="Q263">
        <v>5983319.8459999999</v>
      </c>
      <c r="R263" s="2">
        <f t="shared" si="4"/>
        <v>5.4148425428651865E-8</v>
      </c>
    </row>
    <row r="264" spans="1:20" x14ac:dyDescent="0.25">
      <c r="A264" t="s">
        <v>89</v>
      </c>
      <c r="B264" t="s">
        <v>90</v>
      </c>
      <c r="C264" t="s">
        <v>42</v>
      </c>
      <c r="D264" s="6">
        <v>41</v>
      </c>
      <c r="E264" s="1">
        <v>1.26E-4</v>
      </c>
      <c r="F264" s="5">
        <v>2.5000000000000001E-2</v>
      </c>
      <c r="G264">
        <v>1.35</v>
      </c>
      <c r="H264" s="9">
        <v>345</v>
      </c>
      <c r="I264" s="7">
        <v>150</v>
      </c>
      <c r="J264">
        <v>0.15</v>
      </c>
      <c r="K264">
        <v>400</v>
      </c>
      <c r="M264">
        <v>64</v>
      </c>
      <c r="N264" t="s">
        <v>12</v>
      </c>
      <c r="O264" t="s">
        <v>13</v>
      </c>
      <c r="P264">
        <v>5983319.8459999999</v>
      </c>
      <c r="Q264">
        <v>5983308.6239999998</v>
      </c>
      <c r="R264" s="2">
        <f t="shared" si="4"/>
        <v>2.1113746701186163E-7</v>
      </c>
      <c r="T264" t="s">
        <v>98</v>
      </c>
    </row>
    <row r="265" spans="1:20" x14ac:dyDescent="0.25">
      <c r="R265" s="2">
        <f t="shared" si="4"/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UserPCLabor0014</dc:creator>
  <cp:lastModifiedBy>UserPCLabor0014</cp:lastModifiedBy>
  <dcterms:created xsi:type="dcterms:W3CDTF">2025-08-25T09:43:40Z</dcterms:created>
  <dcterms:modified xsi:type="dcterms:W3CDTF">2025-09-11T11:10:51Z</dcterms:modified>
</cp:coreProperties>
</file>